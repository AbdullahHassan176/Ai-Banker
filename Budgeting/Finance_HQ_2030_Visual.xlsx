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c2f7a889458d31d/Documents/0.1 Main Documents/3. Budgeting/"/>
    </mc:Choice>
  </mc:AlternateContent>
  <xr:revisionPtr revIDLastSave="296" documentId="13_ncr:1_{693A29B8-E658-473E-B5EF-F92BBAE4B85E}" xr6:coauthVersionLast="47" xr6:coauthVersionMax="47" xr10:uidLastSave="{CE40F1C2-927C-489B-831F-9802DB0FBEA2}"/>
  <bookViews>
    <workbookView xWindow="28680" yWindow="-120" windowWidth="29040" windowHeight="15720" firstSheet="1" activeTab="2" xr2:uid="{00000000-000D-0000-FFFF-FFFF00000000}"/>
  </bookViews>
  <sheets>
    <sheet name="Inputs &amp; Controls" sheetId="1" r:id="rId1"/>
    <sheet name="Dashboard" sheetId="9" r:id="rId2"/>
    <sheet name="Budget" sheetId="2" r:id="rId3"/>
    <sheet name="Assets and Liabilities" sheetId="3" r:id="rId4"/>
    <sheet name="12M Cashflow Plan (2026)" sheetId="5" r:id="rId5"/>
    <sheet name="Total Paid in Family Support" sheetId="11" r:id="rId6"/>
    <sheet name="Transactions (Template)" sheetId="8" r:id="rId7"/>
  </sheets>
  <definedNames>
    <definedName name="_xlnm._FilterDatabase" localSheetId="3" hidden="1">'Assets and Liabilities'!$B$27:$G$36</definedName>
    <definedName name="AEDtoZAR">'Inputs &amp; Controls'!$B$5</definedName>
    <definedName name="Loan_Amount">'12M Cashflow Plan (2026)'!$C$97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G23" i="2"/>
  <c r="G4" i="2"/>
  <c r="G16" i="2"/>
  <c r="G21" i="2" s="1"/>
  <c r="E22" i="3"/>
  <c r="D7" i="5"/>
  <c r="D8" i="5" s="1"/>
  <c r="D9" i="5" s="1"/>
  <c r="D10" i="5" s="1"/>
  <c r="D11" i="5" s="1"/>
  <c r="D12" i="5" s="1"/>
  <c r="B44" i="3"/>
  <c r="C38" i="3"/>
  <c r="E35" i="3"/>
  <c r="E34" i="3"/>
  <c r="E28" i="3"/>
  <c r="E29" i="3"/>
  <c r="E72" i="5"/>
  <c r="F72" i="5"/>
  <c r="E73" i="5"/>
  <c r="E74" i="5"/>
  <c r="E75" i="5"/>
  <c r="F75" i="5"/>
  <c r="E76" i="5"/>
  <c r="E77" i="5"/>
  <c r="E78" i="5"/>
  <c r="F78" i="5"/>
  <c r="E79" i="5"/>
  <c r="E80" i="5"/>
  <c r="E81" i="5"/>
  <c r="F81" i="5"/>
  <c r="E82" i="5"/>
  <c r="E83" i="5"/>
  <c r="E84" i="5"/>
  <c r="F84" i="5"/>
  <c r="E85" i="5"/>
  <c r="E86" i="5"/>
  <c r="E87" i="5"/>
  <c r="F87" i="5"/>
  <c r="E88" i="5"/>
  <c r="E89" i="5"/>
  <c r="F50" i="3"/>
  <c r="E50" i="3"/>
  <c r="C51" i="3"/>
  <c r="G45" i="3"/>
  <c r="D44" i="3"/>
  <c r="D50" i="3" s="1"/>
  <c r="D51" i="3" s="1"/>
  <c r="C40" i="3"/>
  <c r="F107" i="11"/>
  <c r="F106" i="11"/>
  <c r="F105" i="11"/>
  <c r="F104" i="11"/>
  <c r="F103" i="11"/>
  <c r="F102" i="11"/>
  <c r="F101" i="11"/>
  <c r="F100" i="11"/>
  <c r="D100" i="11" s="1"/>
  <c r="F99" i="11"/>
  <c r="D99" i="11" s="1"/>
  <c r="F98" i="11"/>
  <c r="F97" i="11"/>
  <c r="D97" i="11" s="1"/>
  <c r="F96" i="11"/>
  <c r="D96" i="11" s="1"/>
  <c r="F95" i="11"/>
  <c r="F94" i="11"/>
  <c r="F93" i="11"/>
  <c r="F92" i="11"/>
  <c r="F91" i="11"/>
  <c r="F90" i="11"/>
  <c r="F89" i="11"/>
  <c r="D89" i="11" s="1"/>
  <c r="F88" i="11"/>
  <c r="F87" i="11"/>
  <c r="F86" i="11"/>
  <c r="D86" i="11" s="1"/>
  <c r="F85" i="11"/>
  <c r="D85" i="11" s="1"/>
  <c r="F84" i="11"/>
  <c r="F83" i="11"/>
  <c r="F82" i="11"/>
  <c r="F81" i="11"/>
  <c r="F80" i="11"/>
  <c r="F79" i="11"/>
  <c r="F78" i="11"/>
  <c r="F77" i="11"/>
  <c r="D77" i="11" s="1"/>
  <c r="F76" i="11"/>
  <c r="G76" i="11" s="1"/>
  <c r="F75" i="11"/>
  <c r="F74" i="11"/>
  <c r="D74" i="11" s="1"/>
  <c r="F73" i="11"/>
  <c r="D73" i="11" s="1"/>
  <c r="F72" i="11"/>
  <c r="G72" i="11" s="1"/>
  <c r="F71" i="11"/>
  <c r="F70" i="11"/>
  <c r="F69" i="11"/>
  <c r="F68" i="11"/>
  <c r="F67" i="11"/>
  <c r="F66" i="11"/>
  <c r="F65" i="11"/>
  <c r="D65" i="11" s="1"/>
  <c r="F64" i="11"/>
  <c r="G64" i="11" s="1"/>
  <c r="F63" i="11"/>
  <c r="F62" i="11"/>
  <c r="D62" i="11" s="1"/>
  <c r="F61" i="11"/>
  <c r="D61" i="11" s="1"/>
  <c r="F60" i="11"/>
  <c r="B60" i="1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D60" i="11"/>
  <c r="G60" i="11"/>
  <c r="H60" i="11" s="1"/>
  <c r="C63" i="11"/>
  <c r="D63" i="11"/>
  <c r="G63" i="11"/>
  <c r="C64" i="11"/>
  <c r="D64" i="11"/>
  <c r="C65" i="11"/>
  <c r="C66" i="11"/>
  <c r="D66" i="11"/>
  <c r="G66" i="11"/>
  <c r="C67" i="11"/>
  <c r="D67" i="11"/>
  <c r="G67" i="11"/>
  <c r="C68" i="11"/>
  <c r="D68" i="11"/>
  <c r="G68" i="11"/>
  <c r="C69" i="11"/>
  <c r="D69" i="11"/>
  <c r="G69" i="11"/>
  <c r="C70" i="11"/>
  <c r="D70" i="11"/>
  <c r="G70" i="11"/>
  <c r="C71" i="11"/>
  <c r="D71" i="11"/>
  <c r="G71" i="11"/>
  <c r="C72" i="11"/>
  <c r="D72" i="11"/>
  <c r="C73" i="11"/>
  <c r="C74" i="11"/>
  <c r="C75" i="11"/>
  <c r="D75" i="11"/>
  <c r="G75" i="11"/>
  <c r="C76" i="11"/>
  <c r="D76" i="11"/>
  <c r="C77" i="11"/>
  <c r="C78" i="11"/>
  <c r="D78" i="11"/>
  <c r="G78" i="11"/>
  <c r="C79" i="11"/>
  <c r="D79" i="11"/>
  <c r="G79" i="11"/>
  <c r="C80" i="11"/>
  <c r="D80" i="11"/>
  <c r="G80" i="11"/>
  <c r="C81" i="11"/>
  <c r="D81" i="11"/>
  <c r="G81" i="11"/>
  <c r="C82" i="11"/>
  <c r="D82" i="11"/>
  <c r="G82" i="11"/>
  <c r="C83" i="11"/>
  <c r="D83" i="11"/>
  <c r="G83" i="11"/>
  <c r="C84" i="11"/>
  <c r="D84" i="11"/>
  <c r="C85" i="11"/>
  <c r="C86" i="11"/>
  <c r="C87" i="11"/>
  <c r="D87" i="11"/>
  <c r="G87" i="11"/>
  <c r="C88" i="11"/>
  <c r="D88" i="11"/>
  <c r="C89" i="11"/>
  <c r="C90" i="11"/>
  <c r="D90" i="11"/>
  <c r="C91" i="11"/>
  <c r="D91" i="11"/>
  <c r="G91" i="11"/>
  <c r="C92" i="11"/>
  <c r="D92" i="11"/>
  <c r="C93" i="11"/>
  <c r="D93" i="11"/>
  <c r="G93" i="11"/>
  <c r="C94" i="11"/>
  <c r="D94" i="11"/>
  <c r="C95" i="11"/>
  <c r="D95" i="11"/>
  <c r="G95" i="11"/>
  <c r="C96" i="11"/>
  <c r="C97" i="11"/>
  <c r="C98" i="11"/>
  <c r="D98" i="11"/>
  <c r="C99" i="11"/>
  <c r="C100" i="11"/>
  <c r="C101" i="11"/>
  <c r="D101" i="11"/>
  <c r="G101" i="11"/>
  <c r="C102" i="11"/>
  <c r="D102" i="11"/>
  <c r="C103" i="11"/>
  <c r="D103" i="11"/>
  <c r="G103" i="11"/>
  <c r="C104" i="11"/>
  <c r="G104" i="11" s="1"/>
  <c r="D104" i="11"/>
  <c r="C105" i="11"/>
  <c r="D105" i="11"/>
  <c r="G105" i="11"/>
  <c r="C106" i="11"/>
  <c r="G106" i="11" s="1"/>
  <c r="D106" i="11"/>
  <c r="C107" i="11"/>
  <c r="D107" i="11"/>
  <c r="G107" i="11"/>
  <c r="F20" i="11"/>
  <c r="F21" i="11"/>
  <c r="F22" i="11"/>
  <c r="F23" i="11"/>
  <c r="F24" i="11"/>
  <c r="D24" i="11" s="1"/>
  <c r="F25" i="11"/>
  <c r="F26" i="11"/>
  <c r="F27" i="11"/>
  <c r="G27" i="11" s="1"/>
  <c r="F28" i="11"/>
  <c r="F29" i="11"/>
  <c r="F30" i="11"/>
  <c r="F31" i="11"/>
  <c r="D31" i="11" s="1"/>
  <c r="F32" i="11"/>
  <c r="F33" i="11"/>
  <c r="F34" i="11"/>
  <c r="F35" i="11"/>
  <c r="F36" i="11"/>
  <c r="F37" i="11"/>
  <c r="D37" i="11" s="1"/>
  <c r="F38" i="11"/>
  <c r="D38" i="11" s="1"/>
  <c r="F39" i="11"/>
  <c r="G39" i="11" s="1"/>
  <c r="F40" i="11"/>
  <c r="G40" i="11" s="1"/>
  <c r="F41" i="11"/>
  <c r="F42" i="11"/>
  <c r="G42" i="11" s="1"/>
  <c r="F43" i="11"/>
  <c r="D43" i="11" s="1"/>
  <c r="F44" i="11"/>
  <c r="F45" i="11"/>
  <c r="F46" i="11"/>
  <c r="F47" i="11"/>
  <c r="F48" i="11"/>
  <c r="F49" i="11"/>
  <c r="F50" i="11"/>
  <c r="D50" i="11" s="1"/>
  <c r="F51" i="11"/>
  <c r="F52" i="11"/>
  <c r="G52" i="11" s="1"/>
  <c r="F53" i="11"/>
  <c r="F54" i="11"/>
  <c r="G54" i="11" s="1"/>
  <c r="F55" i="11"/>
  <c r="D55" i="11" s="1"/>
  <c r="F56" i="11"/>
  <c r="F57" i="11"/>
  <c r="F58" i="11"/>
  <c r="F59" i="11"/>
  <c r="F19" i="11"/>
  <c r="D25" i="11"/>
  <c r="D26" i="11"/>
  <c r="D27" i="11"/>
  <c r="G28" i="11"/>
  <c r="G30" i="11"/>
  <c r="D36" i="11"/>
  <c r="G51" i="11"/>
  <c r="H6" i="1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5" i="11"/>
  <c r="H4" i="11"/>
  <c r="B15" i="1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C15" i="11"/>
  <c r="F15" i="11"/>
  <c r="D15" i="11" s="1"/>
  <c r="G15" i="11"/>
  <c r="C16" i="11"/>
  <c r="F16" i="11"/>
  <c r="D16" i="11" s="1"/>
  <c r="G16" i="11"/>
  <c r="C17" i="11"/>
  <c r="D17" i="11" s="1"/>
  <c r="F17" i="11"/>
  <c r="C18" i="11"/>
  <c r="D18" i="11" s="1"/>
  <c r="F18" i="11"/>
  <c r="G18" i="11"/>
  <c r="C19" i="11"/>
  <c r="G19" i="11" s="1"/>
  <c r="D19" i="11"/>
  <c r="C20" i="11"/>
  <c r="D20" i="11"/>
  <c r="G20" i="11"/>
  <c r="C21" i="11"/>
  <c r="D21" i="11"/>
  <c r="G21" i="11"/>
  <c r="C22" i="11"/>
  <c r="D22" i="11" s="1"/>
  <c r="G22" i="11"/>
  <c r="C23" i="11"/>
  <c r="D23" i="11"/>
  <c r="G23" i="11"/>
  <c r="C24" i="11"/>
  <c r="C25" i="11"/>
  <c r="C26" i="11"/>
  <c r="G26" i="11"/>
  <c r="C27" i="11"/>
  <c r="C28" i="11"/>
  <c r="D28" i="11" s="1"/>
  <c r="C29" i="11"/>
  <c r="C30" i="11"/>
  <c r="D30" i="11" s="1"/>
  <c r="C31" i="11"/>
  <c r="C32" i="11"/>
  <c r="D32" i="11"/>
  <c r="C33" i="11"/>
  <c r="D33" i="11"/>
  <c r="G33" i="11"/>
  <c r="C34" i="11"/>
  <c r="D34" i="11"/>
  <c r="G34" i="11"/>
  <c r="C35" i="11"/>
  <c r="D35" i="11"/>
  <c r="G35" i="11"/>
  <c r="C36" i="11"/>
  <c r="C37" i="11"/>
  <c r="C38" i="11"/>
  <c r="G38" i="11"/>
  <c r="C39" i="11"/>
  <c r="C40" i="11"/>
  <c r="C41" i="11"/>
  <c r="C42" i="11"/>
  <c r="C43" i="11"/>
  <c r="C44" i="11"/>
  <c r="G44" i="11" s="1"/>
  <c r="D44" i="11"/>
  <c r="C45" i="11"/>
  <c r="D45" i="11"/>
  <c r="G45" i="11"/>
  <c r="C46" i="11"/>
  <c r="D46" i="11"/>
  <c r="G46" i="11"/>
  <c r="C47" i="11"/>
  <c r="D47" i="11"/>
  <c r="G47" i="11"/>
  <c r="C48" i="11"/>
  <c r="D48" i="11"/>
  <c r="C49" i="11"/>
  <c r="D49" i="11"/>
  <c r="G49" i="11"/>
  <c r="C50" i="11"/>
  <c r="C51" i="11"/>
  <c r="C52" i="11"/>
  <c r="C53" i="11"/>
  <c r="C54" i="11"/>
  <c r="D54" i="11" s="1"/>
  <c r="C55" i="11"/>
  <c r="C56" i="11"/>
  <c r="D56" i="11"/>
  <c r="C57" i="11"/>
  <c r="D57" i="11"/>
  <c r="G57" i="11"/>
  <c r="C58" i="11"/>
  <c r="D58" i="11"/>
  <c r="G58" i="11"/>
  <c r="C59" i="11"/>
  <c r="D59" i="11"/>
  <c r="G59" i="11"/>
  <c r="F5" i="11"/>
  <c r="D5" i="11" s="1"/>
  <c r="F6" i="11"/>
  <c r="D6" i="11" s="1"/>
  <c r="G6" i="11"/>
  <c r="F7" i="11"/>
  <c r="D7" i="11" s="1"/>
  <c r="F8" i="11"/>
  <c r="D8" i="11" s="1"/>
  <c r="F9" i="11"/>
  <c r="G9" i="11" s="1"/>
  <c r="F10" i="11"/>
  <c r="D10" i="11" s="1"/>
  <c r="G10" i="11"/>
  <c r="F11" i="11"/>
  <c r="D11" i="11" s="1"/>
  <c r="F12" i="11"/>
  <c r="D12" i="11" s="1"/>
  <c r="G12" i="11"/>
  <c r="F13" i="11"/>
  <c r="D13" i="11" s="1"/>
  <c r="G13" i="11"/>
  <c r="F14" i="11"/>
  <c r="F4" i="11"/>
  <c r="G4" i="11" s="1"/>
  <c r="C14" i="11"/>
  <c r="G14" i="11" s="1"/>
  <c r="B5" i="11"/>
  <c r="B6" i="11" s="1"/>
  <c r="B7" i="11" s="1"/>
  <c r="B8" i="11" s="1"/>
  <c r="B9" i="11" s="1"/>
  <c r="B10" i="11" s="1"/>
  <c r="B11" i="11" s="1"/>
  <c r="B12" i="11" s="1"/>
  <c r="B13" i="11" s="1"/>
  <c r="B14" i="11" s="1"/>
  <c r="H83" i="5"/>
  <c r="C28" i="5"/>
  <c r="H87" i="5" s="1"/>
  <c r="E28" i="5"/>
  <c r="G28" i="5"/>
  <c r="H28" i="5"/>
  <c r="C29" i="5"/>
  <c r="H88" i="5" s="1"/>
  <c r="E29" i="5"/>
  <c r="G29" i="5"/>
  <c r="H29" i="5"/>
  <c r="C30" i="5"/>
  <c r="H89" i="5" s="1"/>
  <c r="E30" i="5"/>
  <c r="G30" i="5"/>
  <c r="H30" i="5"/>
  <c r="C26" i="5"/>
  <c r="H85" i="5" s="1"/>
  <c r="E26" i="5"/>
  <c r="G26" i="5"/>
  <c r="H26" i="5"/>
  <c r="C27" i="5"/>
  <c r="H86" i="5" s="1"/>
  <c r="E27" i="5"/>
  <c r="G27" i="5"/>
  <c r="H27" i="5"/>
  <c r="C18" i="5"/>
  <c r="H77" i="5" s="1"/>
  <c r="E18" i="5"/>
  <c r="G18" i="5"/>
  <c r="H18" i="5"/>
  <c r="C19" i="5"/>
  <c r="H78" i="5" s="1"/>
  <c r="E19" i="5"/>
  <c r="G19" i="5"/>
  <c r="H19" i="5"/>
  <c r="C20" i="5"/>
  <c r="H79" i="5" s="1"/>
  <c r="E20" i="5"/>
  <c r="G20" i="5"/>
  <c r="H20" i="5"/>
  <c r="C21" i="5"/>
  <c r="H80" i="5" s="1"/>
  <c r="E21" i="5"/>
  <c r="G21" i="5"/>
  <c r="H21" i="5"/>
  <c r="C22" i="5"/>
  <c r="H81" i="5" s="1"/>
  <c r="D22" i="5"/>
  <c r="E22" i="5"/>
  <c r="G22" i="5"/>
  <c r="H22" i="5"/>
  <c r="C23" i="5"/>
  <c r="H82" i="5" s="1"/>
  <c r="E23" i="5"/>
  <c r="G23" i="5"/>
  <c r="H23" i="5"/>
  <c r="C24" i="5"/>
  <c r="E24" i="5"/>
  <c r="G24" i="5"/>
  <c r="H24" i="5"/>
  <c r="C25" i="5"/>
  <c r="H84" i="5" s="1"/>
  <c r="E25" i="5"/>
  <c r="G25" i="5"/>
  <c r="H25" i="5"/>
  <c r="H63" i="5"/>
  <c r="D63" i="5"/>
  <c r="D4" i="5"/>
  <c r="H34" i="5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B34" i="5"/>
  <c r="C5" i="5"/>
  <c r="H64" i="5" s="1"/>
  <c r="C6" i="5"/>
  <c r="H65" i="5" s="1"/>
  <c r="C7" i="5"/>
  <c r="H66" i="5" s="1"/>
  <c r="C8" i="5"/>
  <c r="H67" i="5" s="1"/>
  <c r="C9" i="5"/>
  <c r="H68" i="5" s="1"/>
  <c r="C10" i="5"/>
  <c r="H69" i="5" s="1"/>
  <c r="C11" i="5"/>
  <c r="H70" i="5" s="1"/>
  <c r="C12" i="5"/>
  <c r="H71" i="5" s="1"/>
  <c r="C13" i="5"/>
  <c r="H72" i="5" s="1"/>
  <c r="C14" i="5"/>
  <c r="H73" i="5" s="1"/>
  <c r="C15" i="5"/>
  <c r="H74" i="5" s="1"/>
  <c r="C16" i="5"/>
  <c r="H75" i="5" s="1"/>
  <c r="C17" i="5"/>
  <c r="H76" i="5" s="1"/>
  <c r="C4" i="5"/>
  <c r="G34" i="5"/>
  <c r="G4" i="5"/>
  <c r="F34" i="5" s="1"/>
  <c r="H4" i="5"/>
  <c r="B5" i="5"/>
  <c r="B6" i="5" s="1"/>
  <c r="E5" i="5"/>
  <c r="G5" i="5"/>
  <c r="H5" i="5"/>
  <c r="F33" i="5"/>
  <c r="E33" i="5"/>
  <c r="D33" i="5"/>
  <c r="E7" i="5"/>
  <c r="G7" i="5"/>
  <c r="H7" i="5"/>
  <c r="E8" i="5"/>
  <c r="G8" i="5"/>
  <c r="H8" i="5"/>
  <c r="E9" i="5"/>
  <c r="G9" i="5"/>
  <c r="H9" i="5"/>
  <c r="E10" i="5"/>
  <c r="G10" i="5"/>
  <c r="H10" i="5"/>
  <c r="E11" i="5"/>
  <c r="G11" i="5"/>
  <c r="H11" i="5"/>
  <c r="E12" i="5"/>
  <c r="G12" i="5"/>
  <c r="H12" i="5"/>
  <c r="E13" i="5"/>
  <c r="G13" i="5"/>
  <c r="H13" i="5"/>
  <c r="E14" i="5"/>
  <c r="G14" i="5"/>
  <c r="H14" i="5"/>
  <c r="E15" i="5"/>
  <c r="G15" i="5"/>
  <c r="H15" i="5"/>
  <c r="E16" i="5"/>
  <c r="G16" i="5"/>
  <c r="H16" i="5"/>
  <c r="E17" i="5"/>
  <c r="G17" i="5"/>
  <c r="H17" i="5"/>
  <c r="H6" i="5"/>
  <c r="G6" i="5"/>
  <c r="E6" i="5"/>
  <c r="D17" i="1"/>
  <c r="D18" i="1"/>
  <c r="D19" i="1"/>
  <c r="C23" i="2"/>
  <c r="C16" i="2"/>
  <c r="B4" i="1" s="1"/>
  <c r="D30" i="5" s="1"/>
  <c r="B8" i="9"/>
  <c r="B3" i="9"/>
  <c r="G22" i="2" l="1"/>
  <c r="I5" i="5"/>
  <c r="D64" i="5" s="1"/>
  <c r="G64" i="5" s="1"/>
  <c r="D29" i="5"/>
  <c r="D27" i="5"/>
  <c r="D14" i="5"/>
  <c r="D21" i="5"/>
  <c r="C21" i="2"/>
  <c r="C22" i="2" s="1"/>
  <c r="D23" i="5"/>
  <c r="I23" i="5" s="1"/>
  <c r="D17" i="5"/>
  <c r="I17" i="5" s="1"/>
  <c r="J17" i="5" s="1"/>
  <c r="D19" i="5"/>
  <c r="I19" i="5" s="1"/>
  <c r="D26" i="5"/>
  <c r="I26" i="5" s="1"/>
  <c r="D18" i="5"/>
  <c r="I18" i="5" s="1"/>
  <c r="D24" i="5"/>
  <c r="I24" i="5" s="1"/>
  <c r="D83" i="5" s="1"/>
  <c r="G83" i="5" s="1"/>
  <c r="D16" i="5"/>
  <c r="D28" i="5"/>
  <c r="D15" i="5"/>
  <c r="D20" i="5"/>
  <c r="D13" i="5"/>
  <c r="I13" i="5" s="1"/>
  <c r="D72" i="5" s="1"/>
  <c r="G72" i="5" s="1"/>
  <c r="D25" i="5"/>
  <c r="I25" i="5" s="1"/>
  <c r="C41" i="3"/>
  <c r="C44" i="3"/>
  <c r="G50" i="3"/>
  <c r="G97" i="11"/>
  <c r="G84" i="11"/>
  <c r="G74" i="11"/>
  <c r="G62" i="11"/>
  <c r="G86" i="11"/>
  <c r="G61" i="11"/>
  <c r="G77" i="11"/>
  <c r="G73" i="11"/>
  <c r="G65" i="11"/>
  <c r="G99" i="11"/>
  <c r="G85" i="11"/>
  <c r="H61" i="11"/>
  <c r="H62" i="11" s="1"/>
  <c r="H63" i="11" s="1"/>
  <c r="H64" i="11" s="1"/>
  <c r="H65" i="11" s="1"/>
  <c r="H66" i="11" s="1"/>
  <c r="H67" i="11" s="1"/>
  <c r="H68" i="11" s="1"/>
  <c r="H69" i="11" s="1"/>
  <c r="H70" i="11" s="1"/>
  <c r="H71" i="11" s="1"/>
  <c r="H72" i="11" s="1"/>
  <c r="H73" i="11" s="1"/>
  <c r="H74" i="11" s="1"/>
  <c r="H75" i="11" s="1"/>
  <c r="H76" i="11" s="1"/>
  <c r="H77" i="11" s="1"/>
  <c r="H78" i="11" s="1"/>
  <c r="H79" i="11" s="1"/>
  <c r="H80" i="11" s="1"/>
  <c r="H81" i="11" s="1"/>
  <c r="H82" i="11" s="1"/>
  <c r="H83" i="11" s="1"/>
  <c r="H84" i="11" s="1"/>
  <c r="H85" i="11" s="1"/>
  <c r="H86" i="11" s="1"/>
  <c r="H87" i="11" s="1"/>
  <c r="G89" i="11"/>
  <c r="G102" i="11"/>
  <c r="G100" i="11"/>
  <c r="G98" i="11"/>
  <c r="G96" i="11"/>
  <c r="G94" i="11"/>
  <c r="G92" i="11"/>
  <c r="G90" i="11"/>
  <c r="G88" i="11"/>
  <c r="D29" i="11"/>
  <c r="D53" i="11"/>
  <c r="D52" i="11"/>
  <c r="D39" i="11"/>
  <c r="G37" i="11"/>
  <c r="G24" i="11"/>
  <c r="G55" i="11"/>
  <c r="G48" i="11"/>
  <c r="G43" i="11"/>
  <c r="D42" i="11"/>
  <c r="D51" i="11"/>
  <c r="D41" i="11"/>
  <c r="G36" i="11"/>
  <c r="G50" i="11"/>
  <c r="G31" i="11"/>
  <c r="G25" i="11"/>
  <c r="D40" i="11"/>
  <c r="H19" i="11"/>
  <c r="H20" i="11" s="1"/>
  <c r="H21" i="11" s="1"/>
  <c r="H22" i="11" s="1"/>
  <c r="H23" i="11" s="1"/>
  <c r="H24" i="11" s="1"/>
  <c r="H25" i="11" s="1"/>
  <c r="H26" i="11" s="1"/>
  <c r="H27" i="11" s="1"/>
  <c r="H28" i="11" s="1"/>
  <c r="G56" i="11"/>
  <c r="G32" i="11"/>
  <c r="G53" i="11"/>
  <c r="G41" i="11"/>
  <c r="G29" i="11"/>
  <c r="G17" i="11"/>
  <c r="G8" i="11"/>
  <c r="D14" i="11"/>
  <c r="G5" i="11"/>
  <c r="D4" i="11"/>
  <c r="G11" i="11"/>
  <c r="D9" i="11"/>
  <c r="G7" i="11"/>
  <c r="I30" i="5"/>
  <c r="D89" i="5" s="1"/>
  <c r="G89" i="5" s="1"/>
  <c r="I28" i="5"/>
  <c r="J30" i="5"/>
  <c r="I29" i="5"/>
  <c r="D88" i="5" s="1"/>
  <c r="G88" i="5" s="1"/>
  <c r="I27" i="5"/>
  <c r="D86" i="5" s="1"/>
  <c r="G86" i="5" s="1"/>
  <c r="I20" i="5"/>
  <c r="I6" i="5"/>
  <c r="D65" i="5" s="1"/>
  <c r="G65" i="5" s="1"/>
  <c r="I21" i="5"/>
  <c r="I22" i="5"/>
  <c r="J5" i="5"/>
  <c r="F35" i="5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G35" i="5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I11" i="5"/>
  <c r="J11" i="5" s="1"/>
  <c r="I10" i="5"/>
  <c r="D69" i="5" s="1"/>
  <c r="G69" i="5" s="1"/>
  <c r="D34" i="5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I16" i="5"/>
  <c r="D75" i="5" s="1"/>
  <c r="G75" i="5" s="1"/>
  <c r="I7" i="5"/>
  <c r="J7" i="5" s="1"/>
  <c r="I15" i="5"/>
  <c r="D74" i="5" s="1"/>
  <c r="G74" i="5" s="1"/>
  <c r="I12" i="5"/>
  <c r="D71" i="5" s="1"/>
  <c r="G71" i="5" s="1"/>
  <c r="I9" i="5"/>
  <c r="J9" i="5" s="1"/>
  <c r="I8" i="5"/>
  <c r="J8" i="5" s="1"/>
  <c r="I14" i="5"/>
  <c r="D73" i="5" s="1"/>
  <c r="G73" i="5" s="1"/>
  <c r="I4" i="5"/>
  <c r="J4" i="5" s="1"/>
  <c r="B7" i="5"/>
  <c r="B36" i="5"/>
  <c r="B65" i="5" s="1"/>
  <c r="E34" i="5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B35" i="5"/>
  <c r="B64" i="5" s="1"/>
  <c r="C39" i="3"/>
  <c r="B4" i="9"/>
  <c r="B5" i="9" s="1"/>
  <c r="J29" i="5" l="1"/>
  <c r="C34" i="5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E44" i="3"/>
  <c r="F44" i="3" s="1"/>
  <c r="G44" i="3" s="1"/>
  <c r="B6" i="9"/>
  <c r="B9" i="9" s="1"/>
  <c r="B10" i="9" s="1"/>
  <c r="J24" i="5"/>
  <c r="H88" i="11"/>
  <c r="H89" i="11" s="1"/>
  <c r="H90" i="11" s="1"/>
  <c r="H91" i="11" s="1"/>
  <c r="H92" i="11" s="1"/>
  <c r="H93" i="11" s="1"/>
  <c r="H94" i="11" s="1"/>
  <c r="H95" i="11" s="1"/>
  <c r="H96" i="11" s="1"/>
  <c r="H97" i="11" s="1"/>
  <c r="H98" i="11" s="1"/>
  <c r="H99" i="11" s="1"/>
  <c r="H100" i="11" s="1"/>
  <c r="H101" i="11" s="1"/>
  <c r="H102" i="11" s="1"/>
  <c r="H103" i="11" s="1"/>
  <c r="H104" i="11" s="1"/>
  <c r="H105" i="11" s="1"/>
  <c r="H106" i="11" s="1"/>
  <c r="H107" i="11" s="1"/>
  <c r="H29" i="11"/>
  <c r="H30" i="11" s="1"/>
  <c r="H31" i="11" s="1"/>
  <c r="H32" i="11" s="1"/>
  <c r="H33" i="11" s="1"/>
  <c r="H34" i="11" s="1"/>
  <c r="H35" i="11" s="1"/>
  <c r="H36" i="11" s="1"/>
  <c r="H37" i="11" s="1"/>
  <c r="H38" i="11" s="1"/>
  <c r="H39" i="11" s="1"/>
  <c r="H40" i="11" s="1"/>
  <c r="H41" i="11" s="1"/>
  <c r="H42" i="11" s="1"/>
  <c r="H43" i="11" s="1"/>
  <c r="H44" i="11" s="1"/>
  <c r="H45" i="11" s="1"/>
  <c r="H46" i="11" s="1"/>
  <c r="H47" i="11" s="1"/>
  <c r="H48" i="11" s="1"/>
  <c r="H49" i="11" s="1"/>
  <c r="H50" i="11" s="1"/>
  <c r="H51" i="11" s="1"/>
  <c r="H52" i="11" s="1"/>
  <c r="H53" i="11" s="1"/>
  <c r="H54" i="11" s="1"/>
  <c r="H55" i="11" s="1"/>
  <c r="H56" i="11" s="1"/>
  <c r="H57" i="11" s="1"/>
  <c r="H58" i="11" s="1"/>
  <c r="H59" i="11" s="1"/>
  <c r="J19" i="5"/>
  <c r="D78" i="5"/>
  <c r="G78" i="5" s="1"/>
  <c r="J18" i="5"/>
  <c r="D77" i="5"/>
  <c r="G77" i="5" s="1"/>
  <c r="J26" i="5"/>
  <c r="D85" i="5"/>
  <c r="G85" i="5" s="1"/>
  <c r="J25" i="5"/>
  <c r="D84" i="5"/>
  <c r="G84" i="5" s="1"/>
  <c r="J28" i="5"/>
  <c r="D87" i="5"/>
  <c r="G87" i="5" s="1"/>
  <c r="J22" i="5"/>
  <c r="D81" i="5"/>
  <c r="G81" i="5" s="1"/>
  <c r="J23" i="5"/>
  <c r="D82" i="5"/>
  <c r="G82" i="5" s="1"/>
  <c r="J21" i="5"/>
  <c r="D80" i="5"/>
  <c r="G80" i="5" s="1"/>
  <c r="J27" i="5"/>
  <c r="J20" i="5"/>
  <c r="D79" i="5"/>
  <c r="G79" i="5" s="1"/>
  <c r="D70" i="5"/>
  <c r="G70" i="5" s="1"/>
  <c r="J6" i="5"/>
  <c r="D67" i="5"/>
  <c r="G67" i="5" s="1"/>
  <c r="D76" i="5"/>
  <c r="G76" i="5" s="1"/>
  <c r="J10" i="5"/>
  <c r="J15" i="5"/>
  <c r="J16" i="5"/>
  <c r="J14" i="5"/>
  <c r="J13" i="5"/>
  <c r="D68" i="5"/>
  <c r="G68" i="5" s="1"/>
  <c r="J12" i="5"/>
  <c r="D66" i="5"/>
  <c r="G66" i="5" s="1"/>
  <c r="B8" i="5"/>
  <c r="B37" i="5"/>
  <c r="B66" i="5" s="1"/>
  <c r="J64" i="5" l="1"/>
  <c r="B9" i="5"/>
  <c r="B38" i="5"/>
  <c r="B67" i="5" s="1"/>
  <c r="C65" i="5" l="1"/>
  <c r="J65" i="5" s="1"/>
  <c r="C66" i="5"/>
  <c r="J66" i="5" s="1"/>
  <c r="K65" i="5"/>
  <c r="B10" i="5"/>
  <c r="B39" i="5"/>
  <c r="B68" i="5" s="1"/>
  <c r="C67" i="5" l="1"/>
  <c r="J67" i="5" s="1"/>
  <c r="K66" i="5"/>
  <c r="B11" i="5"/>
  <c r="B40" i="5"/>
  <c r="B69" i="5" s="1"/>
  <c r="C68" i="5" l="1"/>
  <c r="J68" i="5" s="1"/>
  <c r="K67" i="5"/>
  <c r="B12" i="5"/>
  <c r="B41" i="5"/>
  <c r="B70" i="5" s="1"/>
  <c r="C69" i="5" l="1"/>
  <c r="J69" i="5" s="1"/>
  <c r="K68" i="5"/>
  <c r="B13" i="5"/>
  <c r="B42" i="5"/>
  <c r="B71" i="5" s="1"/>
  <c r="C70" i="5" l="1"/>
  <c r="J70" i="5" s="1"/>
  <c r="K69" i="5"/>
  <c r="B14" i="5"/>
  <c r="B43" i="5"/>
  <c r="B72" i="5" s="1"/>
  <c r="C71" i="5" l="1"/>
  <c r="J71" i="5" s="1"/>
  <c r="K70" i="5"/>
  <c r="B15" i="5"/>
  <c r="B44" i="5"/>
  <c r="B73" i="5" s="1"/>
  <c r="C72" i="5" l="1"/>
  <c r="J72" i="5" s="1"/>
  <c r="K71" i="5"/>
  <c r="B16" i="5"/>
  <c r="B45" i="5"/>
  <c r="B74" i="5" s="1"/>
  <c r="C73" i="5" l="1"/>
  <c r="J73" i="5" s="1"/>
  <c r="K72" i="5"/>
  <c r="B17" i="5"/>
  <c r="B46" i="5"/>
  <c r="B75" i="5" s="1"/>
  <c r="C74" i="5" l="1"/>
  <c r="J74" i="5" s="1"/>
  <c r="K73" i="5"/>
  <c r="B47" i="5"/>
  <c r="B76" i="5" s="1"/>
  <c r="B18" i="5"/>
  <c r="C75" i="5" l="1"/>
  <c r="J75" i="5" s="1"/>
  <c r="K74" i="5"/>
  <c r="B19" i="5"/>
  <c r="B48" i="5"/>
  <c r="B77" i="5" s="1"/>
  <c r="C76" i="5" l="1"/>
  <c r="J76" i="5" s="1"/>
  <c r="K75" i="5"/>
  <c r="B20" i="5"/>
  <c r="B49" i="5"/>
  <c r="B78" i="5" s="1"/>
  <c r="C77" i="5" l="1"/>
  <c r="J77" i="5" s="1"/>
  <c r="K76" i="5"/>
  <c r="B21" i="5"/>
  <c r="B50" i="5"/>
  <c r="B79" i="5" s="1"/>
  <c r="C78" i="5" l="1"/>
  <c r="J78" i="5" s="1"/>
  <c r="K77" i="5"/>
  <c r="B22" i="5"/>
  <c r="B51" i="5"/>
  <c r="B80" i="5" s="1"/>
  <c r="C79" i="5" l="1"/>
  <c r="J79" i="5" s="1"/>
  <c r="K78" i="5"/>
  <c r="B23" i="5"/>
  <c r="B52" i="5"/>
  <c r="B81" i="5" s="1"/>
  <c r="C80" i="5" l="1"/>
  <c r="J80" i="5" s="1"/>
  <c r="K79" i="5"/>
  <c r="B24" i="5"/>
  <c r="B53" i="5"/>
  <c r="B82" i="5" s="1"/>
  <c r="C81" i="5" l="1"/>
  <c r="J81" i="5" s="1"/>
  <c r="K80" i="5"/>
  <c r="B25" i="5"/>
  <c r="B54" i="5"/>
  <c r="B83" i="5" s="1"/>
  <c r="C82" i="5" l="1"/>
  <c r="J82" i="5" s="1"/>
  <c r="K81" i="5"/>
  <c r="B26" i="5"/>
  <c r="B55" i="5"/>
  <c r="B84" i="5" s="1"/>
  <c r="C83" i="5" l="1"/>
  <c r="J83" i="5" s="1"/>
  <c r="K82" i="5"/>
  <c r="B27" i="5"/>
  <c r="B56" i="5"/>
  <c r="B85" i="5" s="1"/>
  <c r="C84" i="5" l="1"/>
  <c r="J84" i="5" s="1"/>
  <c r="K83" i="5"/>
  <c r="B28" i="5"/>
  <c r="B57" i="5"/>
  <c r="B86" i="5" s="1"/>
  <c r="C85" i="5" l="1"/>
  <c r="J85" i="5" s="1"/>
  <c r="K84" i="5"/>
  <c r="B29" i="5"/>
  <c r="B58" i="5"/>
  <c r="B87" i="5" s="1"/>
  <c r="C86" i="5" l="1"/>
  <c r="J86" i="5" s="1"/>
  <c r="K85" i="5"/>
  <c r="B30" i="5"/>
  <c r="B60" i="5" s="1"/>
  <c r="B89" i="5" s="1"/>
  <c r="B59" i="5"/>
  <c r="B88" i="5" s="1"/>
  <c r="C87" i="5" l="1"/>
  <c r="J87" i="5" s="1"/>
  <c r="K86" i="5"/>
  <c r="C88" i="5" l="1"/>
  <c r="J88" i="5" s="1"/>
  <c r="K87" i="5"/>
  <c r="C89" i="5" l="1"/>
  <c r="K88" i="5"/>
  <c r="J89" i="5" l="1"/>
  <c r="K89" i="5" s="1"/>
</calcChain>
</file>

<file path=xl/sharedStrings.xml><?xml version="1.0" encoding="utf-8"?>
<sst xmlns="http://schemas.openxmlformats.org/spreadsheetml/2006/main" count="178" uniqueCount="135">
  <si>
    <t>Input</t>
  </si>
  <si>
    <t>Value</t>
  </si>
  <si>
    <t>Monthly Income (AED)</t>
  </si>
  <si>
    <t>Base Monthly Expenses (AED)</t>
  </si>
  <si>
    <t>ZAR per AED</t>
  </si>
  <si>
    <t>Annual Income Growth %</t>
  </si>
  <si>
    <t>Annual Expense Inflation %</t>
  </si>
  <si>
    <t>Surplus Allocation to Debt (%)</t>
  </si>
  <si>
    <t>Surplus Allocation to Funds (%)</t>
  </si>
  <si>
    <t>Apartment Asset Value (AED)</t>
  </si>
  <si>
    <t>Other Assets (AED)</t>
  </si>
  <si>
    <t>Notes</t>
  </si>
  <si>
    <t>Adjust growth, allocations, and asset placeholders as needed.</t>
  </si>
  <si>
    <t>Category</t>
  </si>
  <si>
    <t>Monthly_AED</t>
  </si>
  <si>
    <t>Rent (Dubai)</t>
  </si>
  <si>
    <t>Utilities + Internet + DEWA + Service Charges</t>
  </si>
  <si>
    <t>Food &amp; Groceries</t>
  </si>
  <si>
    <t>Transport / Fuel / Metro</t>
  </si>
  <si>
    <t>Insurance / Medical / Phone</t>
  </si>
  <si>
    <t>SA Mortgage + Storage (split, R3,000)</t>
  </si>
  <si>
    <t>Family Support (R7,000)</t>
  </si>
  <si>
    <t>SA Debt Repayments (base plan)</t>
  </si>
  <si>
    <t>Discretionary / Personal</t>
  </si>
  <si>
    <t>Savings / Emergency / Political + Business Funds</t>
  </si>
  <si>
    <t>90k/year</t>
  </si>
  <si>
    <t>15k/year</t>
  </si>
  <si>
    <t>R3k / ZAR per AED</t>
  </si>
  <si>
    <t>R7k / ZAR per AED</t>
  </si>
  <si>
    <t>Target to clear in ~5 years</t>
  </si>
  <si>
    <t>Lender</t>
  </si>
  <si>
    <t>Outstanding_ZAR</t>
  </si>
  <si>
    <t>InterestRate_pct</t>
  </si>
  <si>
    <t>Outstanding_AED</t>
  </si>
  <si>
    <t>Rank_Priority</t>
  </si>
  <si>
    <t>ABSA Credit Card</t>
  </si>
  <si>
    <t>Discovery Black Credit Card</t>
  </si>
  <si>
    <t>FNB Revolving Facility</t>
  </si>
  <si>
    <t>Investment Account Loan</t>
  </si>
  <si>
    <t>Goal</t>
  </si>
  <si>
    <t>Target_AED</t>
  </si>
  <si>
    <t>Current_AED</t>
  </si>
  <si>
    <t>Progress_pct</t>
  </si>
  <si>
    <t>Emergency Fund</t>
  </si>
  <si>
    <t>Political Development Fund</t>
  </si>
  <si>
    <t>Month</t>
  </si>
  <si>
    <t>Income_AED</t>
  </si>
  <si>
    <t>Surplus_AED</t>
  </si>
  <si>
    <t>Date</t>
  </si>
  <si>
    <t>Description</t>
  </si>
  <si>
    <t>Amount</t>
  </si>
  <si>
    <t>Currency</t>
  </si>
  <si>
    <t>Account</t>
  </si>
  <si>
    <t>Bank</t>
  </si>
  <si>
    <t>Type</t>
  </si>
  <si>
    <t>Instructions</t>
  </si>
  <si>
    <t>• Adjust growth %, FX rate, and allocation sliders here.</t>
  </si>
  <si>
    <t>• Apartment/Other assets are placeholders; set when ready.</t>
  </si>
  <si>
    <t>• Projections &amp; charts update from these inputs.</t>
  </si>
  <si>
    <t>Key KPIs</t>
  </si>
  <si>
    <t>Total Monthly Income (AED)</t>
  </si>
  <si>
    <t>Total Planned Expenses (AED)</t>
  </si>
  <si>
    <t>Planned Monthly Surplus (AED)</t>
  </si>
  <si>
    <t>Total Debt Outstanding (AED)</t>
  </si>
  <si>
    <t>Assets (AED)</t>
  </si>
  <si>
    <t>Liabilities (AED)</t>
  </si>
  <si>
    <t>Net Worth (AED)</t>
  </si>
  <si>
    <t>FNB Private Client Home Loan</t>
  </si>
  <si>
    <t>Father Investment Account</t>
  </si>
  <si>
    <t>Haircuts and Coffee</t>
  </si>
  <si>
    <t xml:space="preserve">Remainder </t>
  </si>
  <si>
    <t>Total Revenue</t>
  </si>
  <si>
    <t>Next Payable Account</t>
  </si>
  <si>
    <t>Next Payable Amount (ZAR)</t>
  </si>
  <si>
    <t>Goals &amp; Funds</t>
  </si>
  <si>
    <t>Total Monthly Expenses</t>
  </si>
  <si>
    <t>Total Monthly Expenses (After Deductibles)</t>
  </si>
  <si>
    <t>Monthly_Expenses_AED</t>
  </si>
  <si>
    <t>Monthly Cashflows Projections</t>
  </si>
  <si>
    <t>Startup Seed Fund</t>
  </si>
  <si>
    <t>SA Mortgage</t>
  </si>
  <si>
    <t>Outstanding Debt Balance</t>
  </si>
  <si>
    <t>Total (ZAR)</t>
  </si>
  <si>
    <t>Total (AED)</t>
  </si>
  <si>
    <t>Debt and Savings Balance Projections</t>
  </si>
  <si>
    <t>Bank Liquidity Balance Projections</t>
  </si>
  <si>
    <t>Opening ENBD Balance</t>
  </si>
  <si>
    <t>Rental Cheques Required</t>
  </si>
  <si>
    <t>Rental Budget</t>
  </si>
  <si>
    <t>Closing ENBD Balance</t>
  </si>
  <si>
    <t>Total Monthly Expenses (Less Rent)</t>
  </si>
  <si>
    <t>Mother Split</t>
  </si>
  <si>
    <t>Father Split</t>
  </si>
  <si>
    <t>Phone and insurance</t>
  </si>
  <si>
    <t>Total Paid in Family Support</t>
  </si>
  <si>
    <t>Monthly Payment</t>
  </si>
  <si>
    <t>Total Monthly Family Support</t>
  </si>
  <si>
    <t>* Paid whilst still living at Bon Accord</t>
  </si>
  <si>
    <t>* Started splitting the amount to cover father asking for money (R50 per day for 30 days)</t>
  </si>
  <si>
    <t>* Father went to Rehab</t>
  </si>
  <si>
    <t>* Purchased BMW and upgraded phone</t>
  </si>
  <si>
    <t>Movement</t>
  </si>
  <si>
    <t>u</t>
  </si>
  <si>
    <t>Wits</t>
  </si>
  <si>
    <t>To Settle Credit Cards (ZAR)</t>
  </si>
  <si>
    <t>To Settle Credit Cards (AED)</t>
  </si>
  <si>
    <t>50k AED in ZAR</t>
  </si>
  <si>
    <t>Remainder for Father</t>
  </si>
  <si>
    <t>Outstanding Owed Father</t>
  </si>
  <si>
    <t>Outstanding Owed Total</t>
  </si>
  <si>
    <t xml:space="preserve">Surplus </t>
  </si>
  <si>
    <t>First Payment</t>
  </si>
  <si>
    <t>Second Payment</t>
  </si>
  <si>
    <t>Paid</t>
  </si>
  <si>
    <t>Received</t>
  </si>
  <si>
    <t>Emirates Debit</t>
  </si>
  <si>
    <t>Current Balance</t>
  </si>
  <si>
    <t>Emirates Wealth</t>
  </si>
  <si>
    <t>Accessible Credit</t>
  </si>
  <si>
    <t>Emirates Credit Card</t>
  </si>
  <si>
    <t>Property</t>
  </si>
  <si>
    <t>Assets (ZAR)</t>
  </si>
  <si>
    <t>Liabilities (ZAR)</t>
  </si>
  <si>
    <t>ABSA Debit</t>
  </si>
  <si>
    <t>Discovery Black Debit</t>
  </si>
  <si>
    <t>Discovery Savings Account</t>
  </si>
  <si>
    <t>Easy Equities</t>
  </si>
  <si>
    <t>FNB Fusion Account - Private Clients</t>
  </si>
  <si>
    <t>FNB Credit Card - Private Clients</t>
  </si>
  <si>
    <t>FNB Debit</t>
  </si>
  <si>
    <t>Unamani FNB Debit</t>
  </si>
  <si>
    <t>When I am on my own</t>
  </si>
  <si>
    <t>When I have support</t>
  </si>
  <si>
    <t>Haircuts and Spa</t>
  </si>
  <si>
    <t>Therapy or other extra-curriculars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</si>
</sst>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164" formatCode="_-[$AED]\ * #,##0.00_-;\-[$AED]\ * #,##0.00_-;_-[$AED]\ 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3">
    <xf numFmtId="0" fontId="0" fillId="0" borderId="0" xfId="0"/>
    <xf numFmtId="4" fontId="0" fillId="0" borderId="0" xfId="0" applyNumberFormat="1"/>
    <xf numFmtId="4" fontId="1" fillId="0" borderId="1" xfId="0" applyNumberFormat="1" applyFont="1" applyBorder="1" applyAlignment="1">
      <alignment horizontal="center" vertical="top"/>
    </xf>
    <xf numFmtId="4" fontId="1" fillId="2" borderId="0" xfId="0" applyNumberFormat="1" applyFont="1" applyFill="1"/>
    <xf numFmtId="4" fontId="1" fillId="0" borderId="0" xfId="0" applyNumberFormat="1" applyFont="1"/>
    <xf numFmtId="4" fontId="1" fillId="0" borderId="2" xfId="0" applyNumberFormat="1" applyFont="1" applyBorder="1"/>
    <xf numFmtId="4" fontId="1" fillId="0" borderId="3" xfId="0" applyNumberFormat="1" applyFont="1" applyBorder="1"/>
    <xf numFmtId="15" fontId="0" fillId="0" borderId="0" xfId="0" applyNumberFormat="1"/>
    <xf numFmtId="4" fontId="0" fillId="0" borderId="4" xfId="0" applyNumberFormat="1" applyBorder="1"/>
    <xf numFmtId="10" fontId="0" fillId="0" borderId="0" xfId="1" applyNumberFormat="1" applyFont="1" applyBorder="1"/>
    <xf numFmtId="4" fontId="0" fillId="0" borderId="5" xfId="0" applyNumberFormat="1" applyBorder="1"/>
    <xf numFmtId="4" fontId="0" fillId="0" borderId="6" xfId="0" applyNumberFormat="1" applyBorder="1"/>
    <xf numFmtId="4" fontId="0" fillId="0" borderId="7" xfId="0" applyNumberFormat="1" applyBorder="1"/>
    <xf numFmtId="10" fontId="0" fillId="0" borderId="7" xfId="1" applyNumberFormat="1" applyFont="1" applyBorder="1"/>
    <xf numFmtId="4" fontId="0" fillId="0" borderId="8" xfId="0" applyNumberFormat="1" applyBorder="1"/>
    <xf numFmtId="10" fontId="1" fillId="0" borderId="0" xfId="1" applyNumberFormat="1" applyFont="1" applyBorder="1"/>
    <xf numFmtId="4" fontId="1" fillId="3" borderId="1" xfId="0" applyNumberFormat="1" applyFont="1" applyFill="1" applyBorder="1" applyAlignment="1">
      <alignment horizontal="center" vertical="top"/>
    </xf>
    <xf numFmtId="4" fontId="0" fillId="0" borderId="1" xfId="0" applyNumberFormat="1" applyBorder="1"/>
    <xf numFmtId="4" fontId="1" fillId="4" borderId="1" xfId="0" applyNumberFormat="1" applyFont="1" applyFill="1" applyBorder="1" applyAlignment="1">
      <alignment horizontal="center" vertical="top"/>
    </xf>
    <xf numFmtId="4" fontId="1" fillId="4" borderId="1" xfId="0" applyNumberFormat="1" applyFont="1" applyFill="1" applyBorder="1"/>
    <xf numFmtId="15" fontId="0" fillId="0" borderId="1" xfId="0" applyNumberFormat="1" applyBorder="1"/>
    <xf numFmtId="164" fontId="0" fillId="0" borderId="1" xfId="0" applyNumberFormat="1" applyBorder="1"/>
    <xf numFmtId="44" fontId="0" fillId="0" borderId="1" xfId="0" applyNumberFormat="1" applyBorder="1"/>
    <xf numFmtId="4" fontId="3" fillId="5" borderId="1" xfId="0" applyNumberFormat="1" applyFont="1" applyFill="1" applyBorder="1" applyAlignment="1">
      <alignment horizontal="center" vertical="top"/>
    </xf>
    <xf numFmtId="4" fontId="3" fillId="4" borderId="1" xfId="0" applyNumberFormat="1" applyFont="1" applyFill="1" applyBorder="1" applyAlignment="1">
      <alignment horizontal="center" vertical="top"/>
    </xf>
    <xf numFmtId="164" fontId="1" fillId="0" borderId="1" xfId="0" applyNumberFormat="1" applyFont="1" applyBorder="1"/>
    <xf numFmtId="4" fontId="3" fillId="6" borderId="1" xfId="0" applyNumberFormat="1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/>
    </xf>
    <xf numFmtId="0" fontId="4" fillId="0" borderId="0" xfId="0" applyFont="1"/>
    <xf numFmtId="44" fontId="1" fillId="0" borderId="1" xfId="0" applyNumberFormat="1" applyFont="1" applyBorder="1"/>
    <xf numFmtId="15" fontId="1" fillId="0" borderId="1" xfId="0" applyNumberFormat="1" applyFont="1" applyBorder="1"/>
    <xf numFmtId="4" fontId="1" fillId="4" borderId="1" xfId="0" applyNumberFormat="1" applyFont="1" applyFill="1" applyBorder="1" applyAlignment="1">
      <alignment horizontal="center" vertical="top"/>
    </xf>
    <xf numFmtId="4" fontId="3" fillId="4" borderId="1" xfId="0" applyNumberFormat="1" applyFont="1" applyFill="1" applyBorder="1" applyAlignment="1">
      <alignment horizontal="center" vertical="top"/>
    </xf>
    <xf numFmtId="4" fontId="3" fillId="5" borderId="1" xfId="0" applyNumberFormat="1" applyFont="1" applyFill="1" applyBorder="1" applyAlignment="1">
      <alignment horizontal="center" vertical="top"/>
    </xf>
    <xf numFmtId="4" fontId="3" fillId="6" borderId="1" xfId="0" applyNumberFormat="1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 vertical="top"/>
    </xf>
    <xf numFmtId="4" fontId="3" fillId="3" borderId="1" xfId="0" applyNumberFormat="1" applyFont="1" applyFill="1" applyBorder="1" applyAlignment="1">
      <alignment horizontal="center" vertical="top"/>
    </xf>
    <xf numFmtId="4" fontId="3" fillId="8" borderId="1" xfId="0" applyNumberFormat="1" applyFont="1" applyFill="1" applyBorder="1" applyAlignment="1">
      <alignment horizontal="center" vertical="top"/>
    </xf>
    <xf numFmtId="4" fontId="3" fillId="8" borderId="1" xfId="0" applyNumberFormat="1" applyFont="1" applyFill="1" applyBorder="1" applyAlignment="1">
      <alignment horizontal="center" vertical="top"/>
    </xf>
    <xf numFmtId="10" fontId="2" fillId="0" borderId="0" xfId="1" applyNumberFormat="1" applyFont="1" applyBorder="1"/>
    <xf numFmtId="44" fontId="0" fillId="0" borderId="0" xfId="0" applyNumberFormat="1"/>
    <xf numFmtId="44" fontId="0" fillId="0" borderId="7" xfId="0" applyNumberFormat="1" applyBorder="1"/>
    <xf numFmtId="164" fontId="0" fillId="0" borderId="0" xfId="0" applyNumberFormat="1"/>
    <xf numFmtId="4" fontId="1" fillId="7" borderId="1" xfId="0" applyNumberFormat="1" applyFont="1" applyFill="1" applyBorder="1" applyAlignment="1">
      <alignment horizontal="center" vertical="top"/>
    </xf>
    <xf numFmtId="4" fontId="1" fillId="7" borderId="1" xfId="0" applyNumberFormat="1" applyFont="1" applyFill="1" applyBorder="1" applyAlignment="1">
      <alignment horizontal="center" vertical="top"/>
    </xf>
    <xf numFmtId="164" fontId="1" fillId="0" borderId="0" xfId="0" applyNumberFormat="1" applyFont="1"/>
    <xf numFmtId="164" fontId="1" fillId="0" borderId="2" xfId="0" applyNumberFormat="1" applyFont="1" applyBorder="1"/>
    <xf numFmtId="164" fontId="1" fillId="0" borderId="3" xfId="0" applyNumberFormat="1" applyFont="1" applyBorder="1"/>
    <xf numFmtId="164" fontId="5" fillId="0" borderId="1" xfId="0" applyNumberFormat="1" applyFont="1" applyBorder="1"/>
    <xf numFmtId="15" fontId="0" fillId="0" borderId="1" xfId="0" applyNumberFormat="1" applyFont="1" applyBorder="1"/>
    <xf numFmtId="164" fontId="0" fillId="0" borderId="1" xfId="0" applyNumberFormat="1" applyFont="1" applyBorder="1"/>
    <xf numFmtId="4" fontId="0" fillId="0" borderId="0" xfId="0" applyNumberFormat="1" applyFont="1"/>
  </cellXfs>
  <cellStyles count="2">
    <cellStyle name="Normal" xfId="0" builtinId="0"/>
    <cellStyle name="Percent" xfId="1" builtinId="5"/>
  </cellStyles>
  <dxfs count="5"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Debt vs Funds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Debt (AED)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Dashboard!$A$3</c:f>
              <c:strCache>
                <c:ptCount val="1"/>
                <c:pt idx="0">
                  <c:v>Total Monthly Income (AED)</c:v>
                </c:pt>
              </c:strCache>
            </c:strRef>
          </c:cat>
          <c:val>
            <c:numRef>
              <c:f>Dashboard!$B$6</c:f>
              <c:numCache>
                <c:formatCode>#,##0.00</c:formatCode>
                <c:ptCount val="1"/>
                <c:pt idx="0">
                  <c:v>351764.13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5-49D0-AEDA-9E8A3A2A5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Funds (AED)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Dashboard!$A$3</c:f>
              <c:strCache>
                <c:ptCount val="1"/>
                <c:pt idx="0">
                  <c:v>Total Monthly Income (AED)</c:v>
                </c:pt>
              </c:strCache>
            </c:strRef>
          </c:cat>
          <c:val>
            <c:numRef>
              <c:f>Dashboard!$B$9</c:f>
              <c:numCache>
                <c:formatCode>#,##0.00</c:formatCode>
                <c:ptCount val="1"/>
                <c:pt idx="0">
                  <c:v>351764.13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A-43C0-83AB-AF6279079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Worth (Current)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 Worth (AED)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</c:f>
              <c:strCache>
                <c:ptCount val="1"/>
                <c:pt idx="0">
                  <c:v>Net Worth (AED)</c:v>
                </c:pt>
              </c:strCache>
            </c:strRef>
          </c:cat>
          <c:val>
            <c:numRef>
              <c:f>Dashboard!$B$11</c:f>
              <c:numCache>
                <c:formatCode>#,##0.00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97B8-409C-B404-7FAB0A00A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60001"/>
        <c:axId val="50060002"/>
      </c:barChart>
      <c:catAx>
        <c:axId val="5006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Expense Distribution (AED)</a:t>
            </a:r>
          </a:p>
        </c:rich>
      </c:tx>
      <c:overlay val="0"/>
    </c:title>
    <c:autoTitleDeleted val="0"/>
    <c:view3D>
      <c:rotX val="7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Expense Distribution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Budget!$B$4:$B$14</c:f>
              <c:strCache>
                <c:ptCount val="10"/>
                <c:pt idx="0">
                  <c:v>Rent (Dubai)</c:v>
                </c:pt>
                <c:pt idx="1">
                  <c:v>Utilities + Internet + DEWA + Service Charges</c:v>
                </c:pt>
                <c:pt idx="2">
                  <c:v>Food &amp; Groceries</c:v>
                </c:pt>
                <c:pt idx="3">
                  <c:v>Transport / Fuel / Metro</c:v>
                </c:pt>
                <c:pt idx="4">
                  <c:v>Insurance / Medical / Phone</c:v>
                </c:pt>
                <c:pt idx="8">
                  <c:v>Haircuts and Coffee</c:v>
                </c:pt>
                <c:pt idx="9">
                  <c:v>Discretionary / Personal</c:v>
                </c:pt>
              </c:strCache>
            </c:strRef>
          </c:cat>
          <c:val>
            <c:numRef>
              <c:f>Budget!$C$4:$C$14</c:f>
              <c:numCache>
                <c:formatCode>_-[$AED]\ * #\ ##0.00_-;\-[$AED]\ * #\ ##0.00_-;_-[$AED]\ * "-"??_-;_-@_-</c:formatCode>
                <c:ptCount val="11"/>
                <c:pt idx="0">
                  <c:v>7500</c:v>
                </c:pt>
                <c:pt idx="1">
                  <c:v>1250</c:v>
                </c:pt>
                <c:pt idx="2">
                  <c:v>2000</c:v>
                </c:pt>
                <c:pt idx="3">
                  <c:v>1000</c:v>
                </c:pt>
                <c:pt idx="4">
                  <c:v>500</c:v>
                </c:pt>
                <c:pt idx="8">
                  <c:v>750</c:v>
                </c:pt>
                <c:pt idx="9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E-42C9-96DE-702FE3CE0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Debt Outstanding by Lender (AED)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'Assets and Liabilities'!$B$28:$B$36</c:f>
              <c:strCache>
                <c:ptCount val="9"/>
                <c:pt idx="0">
                  <c:v>Discovery Black Credit Card</c:v>
                </c:pt>
                <c:pt idx="1">
                  <c:v>ABSA Credit Card</c:v>
                </c:pt>
                <c:pt idx="2">
                  <c:v>FNB Revolving Facility</c:v>
                </c:pt>
                <c:pt idx="3">
                  <c:v>Father Investment Account</c:v>
                </c:pt>
                <c:pt idx="4">
                  <c:v>Investment Account Loan</c:v>
                </c:pt>
                <c:pt idx="5">
                  <c:v>Wits</c:v>
                </c:pt>
                <c:pt idx="6">
                  <c:v>FNB Fusion Account - Private Clients</c:v>
                </c:pt>
                <c:pt idx="7">
                  <c:v>FNB Credit Card - Private Clients</c:v>
                </c:pt>
                <c:pt idx="8">
                  <c:v>FNB Private Client Home Loan</c:v>
                </c:pt>
              </c:strCache>
            </c:strRef>
          </c:cat>
          <c:val>
            <c:numRef>
              <c:f>'Assets and Liabilities'!$C$28:$C$36</c:f>
              <c:numCache>
                <c:formatCode>_("R"* #,##0.00_);_("R"* \(#,##0.00\);_("R"* "-"??_);_(@_)</c:formatCode>
                <c:ptCount val="9"/>
                <c:pt idx="0">
                  <c:v>0</c:v>
                </c:pt>
                <c:pt idx="1">
                  <c:v>35235.870000000003</c:v>
                </c:pt>
                <c:pt idx="2">
                  <c:v>0</c:v>
                </c:pt>
                <c:pt idx="3">
                  <c:v>237944</c:v>
                </c:pt>
                <c:pt idx="4">
                  <c:v>500000</c:v>
                </c:pt>
                <c:pt idx="5">
                  <c:v>35000</c:v>
                </c:pt>
                <c:pt idx="6">
                  <c:v>0</c:v>
                </c:pt>
                <c:pt idx="7">
                  <c:v>246</c:v>
                </c:pt>
                <c:pt idx="8">
                  <c:v>1358083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D-42E9-9E8D-72748ADBD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_(&quot;R&quot;* #,##0.00_);_(&quot;R&quot;* \(#,##0.00\);_(&quot;R&quot;* &quot;-&quot;??_);_(@_)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17</xdr:col>
      <xdr:colOff>457200</xdr:colOff>
      <xdr:row>13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586741</xdr:colOff>
      <xdr:row>25</xdr:row>
      <xdr:rowOff>95250</xdr:rowOff>
    </xdr:from>
    <xdr:to>
      <xdr:col>3</xdr:col>
      <xdr:colOff>1076326</xdr:colOff>
      <xdr:row>54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561975</xdr:colOff>
      <xdr:row>23</xdr:row>
      <xdr:rowOff>28575</xdr:rowOff>
    </xdr:from>
    <xdr:to>
      <xdr:col>17</xdr:col>
      <xdr:colOff>409575</xdr:colOff>
      <xdr:row>39</xdr:row>
      <xdr:rowOff>158115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Red">
      <a:dk1>
        <a:sysClr val="windowText" lastClr="000000"/>
      </a:dk1>
      <a:lt1>
        <a:sysClr val="window" lastClr="FFFFFF"/>
      </a:lt1>
      <a:dk2>
        <a:srgbClr val="323232"/>
      </a:dk2>
      <a:lt2>
        <a:srgbClr val="E5C243"/>
      </a:lt2>
      <a:accent1>
        <a:srgbClr val="A5300F"/>
      </a:accent1>
      <a:accent2>
        <a:srgbClr val="D55816"/>
      </a:accent2>
      <a:accent3>
        <a:srgbClr val="E19825"/>
      </a:accent3>
      <a:accent4>
        <a:srgbClr val="B19C7D"/>
      </a:accent4>
      <a:accent5>
        <a:srgbClr val="7F5F52"/>
      </a:accent5>
      <a:accent6>
        <a:srgbClr val="B27D49"/>
      </a:accent6>
      <a:hlink>
        <a:srgbClr val="6B9F25"/>
      </a:hlink>
      <a:folHlink>
        <a:srgbClr val="B26B0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2:E19"/>
  <sheetViews>
    <sheetView showGridLines="0" workbookViewId="0">
      <selection activeCell="B23" sqref="B23"/>
    </sheetView>
  </sheetViews>
  <sheetFormatPr defaultRowHeight="14.4" x14ac:dyDescent="0.3"/>
  <cols>
    <col min="1" max="1" width="28.21875" style="1" bestFit="1" customWidth="1"/>
    <col min="2" max="2" width="55.21875" style="1" bestFit="1" customWidth="1"/>
    <col min="3" max="3" width="16.77734375" style="1" customWidth="1"/>
    <col min="4" max="4" width="54.109375" style="1" bestFit="1" customWidth="1"/>
    <col min="5" max="16384" width="8.88671875" style="1"/>
  </cols>
  <sheetData>
    <row r="2" spans="1:5" s="3" customFormat="1" ht="19.95" customHeight="1" x14ac:dyDescent="0.3">
      <c r="A2" s="16" t="s">
        <v>0</v>
      </c>
      <c r="B2" s="16" t="s">
        <v>1</v>
      </c>
      <c r="D2" s="4" t="s">
        <v>55</v>
      </c>
    </row>
    <row r="3" spans="1:5" x14ac:dyDescent="0.3">
      <c r="A3" s="17" t="s">
        <v>2</v>
      </c>
      <c r="B3" s="17">
        <v>21100</v>
      </c>
      <c r="D3" s="1" t="s">
        <v>56</v>
      </c>
    </row>
    <row r="4" spans="1:5" x14ac:dyDescent="0.3">
      <c r="A4" s="17" t="s">
        <v>3</v>
      </c>
      <c r="B4" s="17">
        <f>Budget!C16</f>
        <v>13700</v>
      </c>
      <c r="D4" s="1" t="s">
        <v>57</v>
      </c>
    </row>
    <row r="5" spans="1:5" x14ac:dyDescent="0.3">
      <c r="A5" s="17" t="s">
        <v>4</v>
      </c>
      <c r="B5" s="17">
        <v>4.66</v>
      </c>
      <c r="D5" s="1" t="s">
        <v>58</v>
      </c>
    </row>
    <row r="6" spans="1:5" x14ac:dyDescent="0.3">
      <c r="A6" s="17" t="s">
        <v>5</v>
      </c>
      <c r="B6" s="17">
        <v>2</v>
      </c>
    </row>
    <row r="7" spans="1:5" x14ac:dyDescent="0.3">
      <c r="A7" s="17" t="s">
        <v>6</v>
      </c>
      <c r="B7" s="17">
        <v>3</v>
      </c>
    </row>
    <row r="8" spans="1:5" x14ac:dyDescent="0.3">
      <c r="A8" s="17" t="s">
        <v>7</v>
      </c>
      <c r="B8" s="17">
        <v>70</v>
      </c>
    </row>
    <row r="9" spans="1:5" x14ac:dyDescent="0.3">
      <c r="A9" s="17" t="s">
        <v>8</v>
      </c>
      <c r="B9" s="17">
        <v>30</v>
      </c>
    </row>
    <row r="10" spans="1:5" x14ac:dyDescent="0.3">
      <c r="A10" s="17" t="s">
        <v>9</v>
      </c>
      <c r="B10" s="17">
        <v>0</v>
      </c>
    </row>
    <row r="11" spans="1:5" x14ac:dyDescent="0.3">
      <c r="A11" s="17" t="s">
        <v>10</v>
      </c>
      <c r="B11" s="17">
        <v>0</v>
      </c>
    </row>
    <row r="12" spans="1:5" x14ac:dyDescent="0.3">
      <c r="A12" s="17" t="s">
        <v>11</v>
      </c>
      <c r="B12" s="17" t="s">
        <v>12</v>
      </c>
    </row>
    <row r="15" spans="1:5" x14ac:dyDescent="0.3">
      <c r="A15" s="31" t="s">
        <v>74</v>
      </c>
      <c r="B15" s="31"/>
      <c r="C15" s="31"/>
      <c r="D15" s="31"/>
      <c r="E15"/>
    </row>
    <row r="16" spans="1:5" x14ac:dyDescent="0.3">
      <c r="A16" s="18" t="s">
        <v>39</v>
      </c>
      <c r="B16" s="18" t="s">
        <v>40</v>
      </c>
      <c r="C16" s="18" t="s">
        <v>41</v>
      </c>
      <c r="D16" s="19" t="s">
        <v>42</v>
      </c>
      <c r="E16"/>
    </row>
    <row r="17" spans="1:5" x14ac:dyDescent="0.3">
      <c r="A17" s="17" t="s">
        <v>43</v>
      </c>
      <c r="B17" s="17">
        <v>20000</v>
      </c>
      <c r="C17" s="17">
        <v>0</v>
      </c>
      <c r="D17" s="17">
        <f>IFERROR(C17/B17,0)</f>
        <v>0</v>
      </c>
      <c r="E17"/>
    </row>
    <row r="18" spans="1:5" x14ac:dyDescent="0.3">
      <c r="A18" s="17" t="s">
        <v>79</v>
      </c>
      <c r="B18" s="17">
        <v>25000</v>
      </c>
      <c r="C18" s="17">
        <v>0</v>
      </c>
      <c r="D18" s="17">
        <f>IFERROR(C18/B18,0)</f>
        <v>0</v>
      </c>
      <c r="E18"/>
    </row>
    <row r="19" spans="1:5" x14ac:dyDescent="0.3">
      <c r="A19" s="17" t="s">
        <v>44</v>
      </c>
      <c r="B19" s="17">
        <v>15000</v>
      </c>
      <c r="C19" s="17">
        <v>0</v>
      </c>
      <c r="D19" s="17">
        <f>IFERROR(C19/B19,0)</f>
        <v>0</v>
      </c>
      <c r="E19"/>
    </row>
  </sheetData>
  <mergeCells count="1">
    <mergeCell ref="A15:D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/>
  </sheetPr>
  <dimension ref="A1:B10"/>
  <sheetViews>
    <sheetView showGridLines="0" workbookViewId="0">
      <selection activeCell="A33" sqref="A33"/>
    </sheetView>
  </sheetViews>
  <sheetFormatPr defaultRowHeight="14.4" x14ac:dyDescent="0.3"/>
  <cols>
    <col min="1" max="1" width="28.33203125" style="1" bestFit="1" customWidth="1"/>
    <col min="2" max="2" width="10.6640625" style="1" bestFit="1" customWidth="1"/>
    <col min="3" max="16384" width="8.88671875" style="1"/>
  </cols>
  <sheetData>
    <row r="1" spans="1:2" s="3" customFormat="1" ht="19.95" customHeight="1" x14ac:dyDescent="0.3">
      <c r="A1" s="4" t="s">
        <v>59</v>
      </c>
      <c r="B1" s="2" t="s">
        <v>1</v>
      </c>
    </row>
    <row r="3" spans="1:2" x14ac:dyDescent="0.3">
      <c r="A3" s="1" t="s">
        <v>60</v>
      </c>
      <c r="B3" s="1">
        <f>'Inputs &amp; Controls'!B3</f>
        <v>21100</v>
      </c>
    </row>
    <row r="4" spans="1:2" x14ac:dyDescent="0.3">
      <c r="A4" s="1" t="s">
        <v>61</v>
      </c>
      <c r="B4" s="1">
        <f>'Inputs &amp; Controls'!B4</f>
        <v>13700</v>
      </c>
    </row>
    <row r="5" spans="1:2" x14ac:dyDescent="0.3">
      <c r="A5" s="1" t="s">
        <v>62</v>
      </c>
      <c r="B5" s="1">
        <f>B3-B4</f>
        <v>7400</v>
      </c>
    </row>
    <row r="6" spans="1:2" x14ac:dyDescent="0.3">
      <c r="A6" s="1" t="s">
        <v>63</v>
      </c>
      <c r="B6" s="1">
        <f>SUM('Assets and Liabilities'!E28:E34)</f>
        <v>351764.13</v>
      </c>
    </row>
    <row r="8" spans="1:2" x14ac:dyDescent="0.3">
      <c r="A8" s="1" t="s">
        <v>64</v>
      </c>
      <c r="B8" s="1">
        <f>'Inputs &amp; Controls'!B10 + 'Inputs &amp; Controls'!B11 + SUM('Inputs &amp; Controls'!C17:C19)</f>
        <v>0</v>
      </c>
    </row>
    <row r="9" spans="1:2" x14ac:dyDescent="0.3">
      <c r="A9" s="1" t="s">
        <v>65</v>
      </c>
      <c r="B9" s="1">
        <f>B6</f>
        <v>351764.13</v>
      </c>
    </row>
    <row r="10" spans="1:2" x14ac:dyDescent="0.3">
      <c r="A10" s="1" t="s">
        <v>66</v>
      </c>
      <c r="B10" s="1">
        <f>B8-B9</f>
        <v>-351764.13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0.499984740745262"/>
  </sheetPr>
  <dimension ref="B2:H24"/>
  <sheetViews>
    <sheetView showGridLines="0" tabSelected="1" workbookViewId="0">
      <selection activeCell="F11" sqref="F11"/>
    </sheetView>
  </sheetViews>
  <sheetFormatPr defaultRowHeight="14.4" x14ac:dyDescent="0.3"/>
  <cols>
    <col min="1" max="1" width="8.88671875" style="1"/>
    <col min="2" max="2" width="43" style="1" bestFit="1" customWidth="1"/>
    <col min="3" max="3" width="14.33203125" style="1" bestFit="1" customWidth="1"/>
    <col min="4" max="4" width="23" style="1" bestFit="1" customWidth="1"/>
    <col min="5" max="5" width="8.88671875" style="1"/>
    <col min="6" max="6" width="43" style="1" bestFit="1" customWidth="1"/>
    <col min="7" max="7" width="16.77734375" style="1" customWidth="1"/>
    <col min="8" max="8" width="23" style="1" bestFit="1" customWidth="1"/>
    <col min="9" max="16384" width="8.88671875" style="1"/>
  </cols>
  <sheetData>
    <row r="2" spans="2:8" x14ac:dyDescent="0.3">
      <c r="B2" s="45" t="s">
        <v>131</v>
      </c>
      <c r="C2" s="45"/>
      <c r="D2" s="45"/>
      <c r="F2" s="33" t="s">
        <v>132</v>
      </c>
      <c r="G2" s="33"/>
      <c r="H2" s="33"/>
    </row>
    <row r="3" spans="2:8" s="3" customFormat="1" ht="19.95" customHeight="1" x14ac:dyDescent="0.3">
      <c r="B3" s="44" t="s">
        <v>13</v>
      </c>
      <c r="C3" s="44" t="s">
        <v>14</v>
      </c>
      <c r="D3" s="44" t="s">
        <v>11</v>
      </c>
      <c r="F3" s="23" t="s">
        <v>13</v>
      </c>
      <c r="G3" s="23" t="s">
        <v>14</v>
      </c>
      <c r="H3" s="23" t="s">
        <v>11</v>
      </c>
    </row>
    <row r="4" spans="2:8" x14ac:dyDescent="0.3">
      <c r="B4" s="1" t="s">
        <v>15</v>
      </c>
      <c r="C4" s="46">
        <v>7500</v>
      </c>
      <c r="D4" s="1" t="s">
        <v>25</v>
      </c>
      <c r="F4" s="1" t="s">
        <v>17</v>
      </c>
      <c r="G4" s="46">
        <f>100*30</f>
        <v>3000</v>
      </c>
    </row>
    <row r="5" spans="2:8" x14ac:dyDescent="0.3">
      <c r="B5" s="1" t="s">
        <v>16</v>
      </c>
      <c r="C5" s="46">
        <v>1250</v>
      </c>
      <c r="D5" s="1" t="s">
        <v>26</v>
      </c>
      <c r="F5" s="1" t="s">
        <v>133</v>
      </c>
      <c r="G5" s="46">
        <v>800</v>
      </c>
    </row>
    <row r="6" spans="2:8" x14ac:dyDescent="0.3">
      <c r="B6" s="1" t="s">
        <v>17</v>
      </c>
      <c r="C6" s="46">
        <v>2000</v>
      </c>
      <c r="F6" s="1" t="s">
        <v>134</v>
      </c>
      <c r="G6" s="46">
        <v>1500</v>
      </c>
    </row>
    <row r="7" spans="2:8" x14ac:dyDescent="0.3">
      <c r="B7" s="1" t="s">
        <v>18</v>
      </c>
      <c r="C7" s="46">
        <v>1000</v>
      </c>
      <c r="F7" s="1" t="s">
        <v>18</v>
      </c>
      <c r="G7" s="46">
        <v>1000</v>
      </c>
    </row>
    <row r="8" spans="2:8" x14ac:dyDescent="0.3">
      <c r="B8" s="1" t="s">
        <v>19</v>
      </c>
      <c r="C8" s="46">
        <v>500</v>
      </c>
      <c r="F8" s="1" t="s">
        <v>23</v>
      </c>
      <c r="G8" s="46">
        <v>700</v>
      </c>
    </row>
    <row r="9" spans="2:8" x14ac:dyDescent="0.3">
      <c r="C9" s="46"/>
      <c r="G9" s="46"/>
    </row>
    <row r="10" spans="2:8" x14ac:dyDescent="0.3">
      <c r="C10" s="46"/>
      <c r="G10" s="46"/>
    </row>
    <row r="11" spans="2:8" x14ac:dyDescent="0.3">
      <c r="C11" s="46"/>
      <c r="G11" s="46"/>
    </row>
    <row r="12" spans="2:8" x14ac:dyDescent="0.3">
      <c r="B12" s="1" t="s">
        <v>69</v>
      </c>
      <c r="C12" s="46">
        <v>750</v>
      </c>
      <c r="G12" s="46"/>
    </row>
    <row r="13" spans="2:8" x14ac:dyDescent="0.3">
      <c r="B13" s="1" t="s">
        <v>23</v>
      </c>
      <c r="C13" s="46">
        <v>700</v>
      </c>
      <c r="G13" s="46"/>
    </row>
    <row r="14" spans="2:8" x14ac:dyDescent="0.3">
      <c r="C14" s="46"/>
      <c r="G14" s="46"/>
    </row>
    <row r="15" spans="2:8" x14ac:dyDescent="0.3">
      <c r="C15" s="43"/>
      <c r="G15" s="43"/>
    </row>
    <row r="16" spans="2:8" x14ac:dyDescent="0.3">
      <c r="B16" s="5" t="s">
        <v>75</v>
      </c>
      <c r="C16" s="47">
        <f>SUM(C4:C14)</f>
        <v>13700</v>
      </c>
      <c r="F16" s="5" t="s">
        <v>75</v>
      </c>
      <c r="G16" s="47">
        <f>SUM(G4:G14)</f>
        <v>7000</v>
      </c>
    </row>
    <row r="17" spans="2:8" x14ac:dyDescent="0.3">
      <c r="B17" s="1" t="s">
        <v>21</v>
      </c>
      <c r="C17" s="43">
        <v>1502.145922746781</v>
      </c>
      <c r="D17" s="1" t="s">
        <v>28</v>
      </c>
      <c r="F17" s="1" t="s">
        <v>21</v>
      </c>
      <c r="G17" s="43">
        <v>1502.145922746781</v>
      </c>
      <c r="H17" s="1" t="s">
        <v>28</v>
      </c>
    </row>
    <row r="18" spans="2:8" x14ac:dyDescent="0.3">
      <c r="B18" s="1" t="s">
        <v>22</v>
      </c>
      <c r="C18" s="43">
        <v>3000</v>
      </c>
      <c r="D18" s="1" t="s">
        <v>29</v>
      </c>
      <c r="F18" s="1" t="s">
        <v>22</v>
      </c>
      <c r="G18" s="43">
        <v>3000</v>
      </c>
    </row>
    <row r="19" spans="2:8" x14ac:dyDescent="0.3">
      <c r="B19" s="1" t="s">
        <v>24</v>
      </c>
      <c r="C19" s="43">
        <v>750</v>
      </c>
      <c r="F19" s="1" t="s">
        <v>24</v>
      </c>
      <c r="G19" s="43">
        <v>750</v>
      </c>
    </row>
    <row r="20" spans="2:8" x14ac:dyDescent="0.3">
      <c r="B20" s="1" t="s">
        <v>20</v>
      </c>
      <c r="C20" s="43">
        <v>643.77682403433471</v>
      </c>
      <c r="D20" s="1" t="s">
        <v>27</v>
      </c>
      <c r="F20" s="1" t="s">
        <v>20</v>
      </c>
      <c r="G20" s="43">
        <v>643.77682403433471</v>
      </c>
      <c r="H20" s="1" t="s">
        <v>27</v>
      </c>
    </row>
    <row r="21" spans="2:8" x14ac:dyDescent="0.3">
      <c r="B21" s="5" t="s">
        <v>76</v>
      </c>
      <c r="C21" s="47">
        <f>SUM(C16:C20)</f>
        <v>19595.922746781114</v>
      </c>
      <c r="F21" s="5" t="s">
        <v>76</v>
      </c>
      <c r="G21" s="47">
        <f>SUM(G16:G20)</f>
        <v>12895.922746781114</v>
      </c>
    </row>
    <row r="22" spans="2:8" x14ac:dyDescent="0.3">
      <c r="B22" s="4" t="s">
        <v>70</v>
      </c>
      <c r="C22" s="46">
        <f>C23-C21</f>
        <v>1504.0772532188857</v>
      </c>
      <c r="F22" s="4" t="s">
        <v>70</v>
      </c>
      <c r="G22" s="46">
        <f>G23-G21</f>
        <v>8204.0772532188857</v>
      </c>
    </row>
    <row r="23" spans="2:8" ht="15" thickBot="1" x14ac:dyDescent="0.35">
      <c r="B23" s="6" t="s">
        <v>71</v>
      </c>
      <c r="C23" s="48">
        <f>'Inputs &amp; Controls'!B3</f>
        <v>21100</v>
      </c>
      <c r="F23" s="6" t="s">
        <v>71</v>
      </c>
      <c r="G23" s="48">
        <f>C23</f>
        <v>21100</v>
      </c>
    </row>
    <row r="24" spans="2:8" ht="15" thickTop="1" x14ac:dyDescent="0.3"/>
  </sheetData>
  <mergeCells count="2">
    <mergeCell ref="B2:D2"/>
    <mergeCell ref="F2:H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499984740745262"/>
  </sheetPr>
  <dimension ref="B3:G51"/>
  <sheetViews>
    <sheetView showGridLines="0" workbookViewId="0">
      <selection activeCell="E28" sqref="E28:E35"/>
    </sheetView>
  </sheetViews>
  <sheetFormatPr defaultRowHeight="14.4" x14ac:dyDescent="0.3"/>
  <cols>
    <col min="1" max="1" width="8.88671875" style="1"/>
    <col min="2" max="2" width="27.44140625" style="1" bestFit="1" customWidth="1"/>
    <col min="3" max="3" width="25.21875" style="1" bestFit="1" customWidth="1"/>
    <col min="4" max="4" width="19.88671875" style="1" bestFit="1" customWidth="1"/>
    <col min="5" max="5" width="20.5546875" style="1" bestFit="1" customWidth="1"/>
    <col min="6" max="6" width="23.44140625" style="1" bestFit="1" customWidth="1"/>
    <col min="7" max="7" width="21.44140625" style="1" customWidth="1"/>
    <col min="8" max="16384" width="8.88671875" style="1"/>
  </cols>
  <sheetData>
    <row r="3" spans="2:7" x14ac:dyDescent="0.3">
      <c r="B3" s="39" t="s">
        <v>64</v>
      </c>
      <c r="C3" s="39"/>
      <c r="D3" s="39"/>
      <c r="E3" s="39"/>
      <c r="F3" s="39"/>
      <c r="G3" s="39"/>
    </row>
    <row r="4" spans="2:7" x14ac:dyDescent="0.3">
      <c r="B4" s="38" t="s">
        <v>30</v>
      </c>
      <c r="C4" s="38" t="s">
        <v>116</v>
      </c>
      <c r="D4" s="38" t="s">
        <v>32</v>
      </c>
      <c r="E4" s="38"/>
      <c r="F4" s="38"/>
      <c r="G4" s="38"/>
    </row>
    <row r="5" spans="2:7" x14ac:dyDescent="0.3">
      <c r="B5" s="8" t="s">
        <v>115</v>
      </c>
      <c r="C5" s="43">
        <v>110400</v>
      </c>
      <c r="D5" s="15">
        <v>1E-3</v>
      </c>
      <c r="G5" s="10"/>
    </row>
    <row r="6" spans="2:7" x14ac:dyDescent="0.3">
      <c r="B6" s="8" t="s">
        <v>117</v>
      </c>
      <c r="C6" s="43">
        <v>10000</v>
      </c>
      <c r="D6" s="15"/>
      <c r="G6" s="10"/>
    </row>
    <row r="7" spans="2:7" customFormat="1" x14ac:dyDescent="0.3"/>
    <row r="8" spans="2:7" x14ac:dyDescent="0.3">
      <c r="B8" s="39" t="s">
        <v>121</v>
      </c>
      <c r="C8" s="39"/>
      <c r="D8" s="39"/>
      <c r="E8" s="39"/>
      <c r="F8" s="39"/>
      <c r="G8" s="39"/>
    </row>
    <row r="9" spans="2:7" x14ac:dyDescent="0.3">
      <c r="B9" s="38" t="s">
        <v>30</v>
      </c>
      <c r="C9" s="38" t="s">
        <v>116</v>
      </c>
      <c r="D9" s="38" t="s">
        <v>32</v>
      </c>
      <c r="E9" s="38"/>
      <c r="F9" s="38"/>
      <c r="G9" s="38"/>
    </row>
    <row r="10" spans="2:7" x14ac:dyDescent="0.3">
      <c r="B10" s="8" t="s">
        <v>120</v>
      </c>
      <c r="C10" s="41">
        <v>1300000</v>
      </c>
      <c r="D10" s="15"/>
      <c r="G10" s="10"/>
    </row>
    <row r="11" spans="2:7" x14ac:dyDescent="0.3">
      <c r="B11" s="8" t="s">
        <v>127</v>
      </c>
      <c r="C11" s="41">
        <v>16523</v>
      </c>
      <c r="D11" s="15"/>
      <c r="G11" s="10"/>
    </row>
    <row r="12" spans="2:7" x14ac:dyDescent="0.3">
      <c r="B12" s="8" t="s">
        <v>129</v>
      </c>
      <c r="C12" s="41">
        <v>490</v>
      </c>
      <c r="D12" s="15"/>
      <c r="G12" s="10"/>
    </row>
    <row r="13" spans="2:7" x14ac:dyDescent="0.3">
      <c r="B13" s="8" t="s">
        <v>130</v>
      </c>
      <c r="C13" s="41">
        <v>930</v>
      </c>
      <c r="D13" s="15"/>
      <c r="G13" s="10"/>
    </row>
    <row r="14" spans="2:7" x14ac:dyDescent="0.3">
      <c r="B14" s="8"/>
      <c r="C14" s="41"/>
      <c r="D14" s="15"/>
      <c r="G14" s="10"/>
    </row>
    <row r="15" spans="2:7" x14ac:dyDescent="0.3">
      <c r="B15" s="8" t="s">
        <v>123</v>
      </c>
      <c r="C15" s="41">
        <v>13887.6</v>
      </c>
      <c r="D15" s="15"/>
      <c r="G15" s="10"/>
    </row>
    <row r="16" spans="2:7" x14ac:dyDescent="0.3">
      <c r="B16" s="8" t="s">
        <v>125</v>
      </c>
      <c r="C16" s="41">
        <v>62.26</v>
      </c>
      <c r="D16" s="15"/>
      <c r="G16" s="10"/>
    </row>
    <row r="17" spans="2:7" x14ac:dyDescent="0.3">
      <c r="B17" s="8" t="s">
        <v>124</v>
      </c>
      <c r="C17" s="41">
        <v>341.09</v>
      </c>
      <c r="D17" s="15"/>
      <c r="G17" s="10"/>
    </row>
    <row r="18" spans="2:7" x14ac:dyDescent="0.3">
      <c r="B18" s="11" t="s">
        <v>126</v>
      </c>
      <c r="C18" s="42">
        <v>300</v>
      </c>
      <c r="D18" s="13"/>
      <c r="E18" s="12"/>
      <c r="F18" s="12"/>
      <c r="G18" s="14"/>
    </row>
    <row r="20" spans="2:7" x14ac:dyDescent="0.3">
      <c r="B20" s="37" t="s">
        <v>65</v>
      </c>
      <c r="C20" s="37"/>
      <c r="D20" s="37"/>
      <c r="E20" s="37"/>
      <c r="F20" s="37"/>
      <c r="G20" s="37"/>
    </row>
    <row r="21" spans="2:7" s="3" customFormat="1" ht="19.95" customHeight="1" x14ac:dyDescent="0.3">
      <c r="B21" s="36" t="s">
        <v>30</v>
      </c>
      <c r="C21" s="36" t="s">
        <v>33</v>
      </c>
      <c r="D21" s="36" t="s">
        <v>32</v>
      </c>
      <c r="E21" s="36" t="s">
        <v>118</v>
      </c>
      <c r="F21" s="36"/>
      <c r="G21" s="36"/>
    </row>
    <row r="22" spans="2:7" x14ac:dyDescent="0.3">
      <c r="B22" s="8" t="s">
        <v>119</v>
      </c>
      <c r="C22" s="43">
        <v>616.1</v>
      </c>
      <c r="D22" s="15">
        <v>0.22</v>
      </c>
      <c r="E22" s="43">
        <f>63000-C22</f>
        <v>62383.9</v>
      </c>
      <c r="G22" s="10"/>
    </row>
    <row r="23" spans="2:7" x14ac:dyDescent="0.3">
      <c r="B23" s="8"/>
      <c r="C23" s="43"/>
      <c r="D23" s="15"/>
      <c r="G23" s="10"/>
    </row>
    <row r="26" spans="2:7" x14ac:dyDescent="0.3">
      <c r="B26" s="37" t="s">
        <v>122</v>
      </c>
      <c r="C26" s="37"/>
      <c r="D26" s="37"/>
      <c r="E26" s="37"/>
      <c r="F26" s="37"/>
      <c r="G26" s="37"/>
    </row>
    <row r="27" spans="2:7" s="3" customFormat="1" ht="19.95" customHeight="1" x14ac:dyDescent="0.3">
      <c r="B27" s="36" t="s">
        <v>30</v>
      </c>
      <c r="C27" s="36" t="s">
        <v>31</v>
      </c>
      <c r="D27" s="36" t="s">
        <v>32</v>
      </c>
      <c r="E27" s="36" t="s">
        <v>118</v>
      </c>
      <c r="F27" s="36"/>
      <c r="G27" s="36" t="s">
        <v>34</v>
      </c>
    </row>
    <row r="28" spans="2:7" x14ac:dyDescent="0.3">
      <c r="B28" s="8" t="s">
        <v>36</v>
      </c>
      <c r="C28" s="41">
        <v>0</v>
      </c>
      <c r="D28" s="40">
        <v>0.22</v>
      </c>
      <c r="E28" s="41">
        <f>67000-C28</f>
        <v>67000</v>
      </c>
      <c r="G28" s="10">
        <v>0</v>
      </c>
    </row>
    <row r="29" spans="2:7" x14ac:dyDescent="0.3">
      <c r="B29" s="8" t="s">
        <v>35</v>
      </c>
      <c r="C29" s="41">
        <v>35235.870000000003</v>
      </c>
      <c r="D29" s="40">
        <v>0.20499999999999999</v>
      </c>
      <c r="E29" s="41">
        <f>40000-C29</f>
        <v>4764.1299999999974</v>
      </c>
      <c r="G29" s="10">
        <v>2</v>
      </c>
    </row>
    <row r="30" spans="2:7" x14ac:dyDescent="0.3">
      <c r="B30" s="8" t="s">
        <v>37</v>
      </c>
      <c r="C30" s="41">
        <v>0</v>
      </c>
      <c r="D30" s="40">
        <v>0.18</v>
      </c>
      <c r="E30" s="41">
        <v>210000</v>
      </c>
      <c r="G30" s="10">
        <v>0</v>
      </c>
    </row>
    <row r="31" spans="2:7" x14ac:dyDescent="0.3">
      <c r="B31" s="8" t="s">
        <v>68</v>
      </c>
      <c r="C31" s="41">
        <v>237944</v>
      </c>
      <c r="D31" s="40">
        <v>0</v>
      </c>
      <c r="E31" s="41">
        <v>0</v>
      </c>
      <c r="G31" s="10">
        <v>3</v>
      </c>
    </row>
    <row r="32" spans="2:7" x14ac:dyDescent="0.3">
      <c r="B32" s="8" t="s">
        <v>38</v>
      </c>
      <c r="C32" s="41">
        <v>500000</v>
      </c>
      <c r="D32" s="9">
        <v>0.15</v>
      </c>
      <c r="E32" s="41">
        <v>0</v>
      </c>
      <c r="G32" s="10">
        <v>1</v>
      </c>
    </row>
    <row r="33" spans="2:7" x14ac:dyDescent="0.3">
      <c r="B33" s="8" t="s">
        <v>103</v>
      </c>
      <c r="C33" s="41">
        <v>35000</v>
      </c>
      <c r="D33" s="9">
        <v>0.22</v>
      </c>
      <c r="E33" s="41">
        <v>0</v>
      </c>
      <c r="G33" s="10">
        <v>0</v>
      </c>
    </row>
    <row r="34" spans="2:7" x14ac:dyDescent="0.3">
      <c r="B34" s="8" t="s">
        <v>127</v>
      </c>
      <c r="C34" s="41">
        <v>0</v>
      </c>
      <c r="D34" s="9">
        <v>0.18</v>
      </c>
      <c r="E34" s="41">
        <f>70000-C34</f>
        <v>70000</v>
      </c>
      <c r="G34" s="10">
        <v>0</v>
      </c>
    </row>
    <row r="35" spans="2:7" x14ac:dyDescent="0.3">
      <c r="B35" s="8" t="s">
        <v>128</v>
      </c>
      <c r="C35" s="41">
        <v>246</v>
      </c>
      <c r="D35" s="9"/>
      <c r="E35" s="41">
        <f>73500-C35</f>
        <v>73254</v>
      </c>
      <c r="G35" s="10"/>
    </row>
    <row r="36" spans="2:7" x14ac:dyDescent="0.3">
      <c r="B36" s="11" t="s">
        <v>67</v>
      </c>
      <c r="C36" s="42">
        <v>1358083</v>
      </c>
      <c r="D36" s="13">
        <v>0.11</v>
      </c>
      <c r="E36" s="42">
        <v>0</v>
      </c>
      <c r="F36" s="12"/>
      <c r="G36" s="14">
        <v>0</v>
      </c>
    </row>
    <row r="38" spans="2:7" x14ac:dyDescent="0.3">
      <c r="B38" s="5" t="s">
        <v>82</v>
      </c>
      <c r="C38" s="5">
        <f>SUM(C28:C36)-C36</f>
        <v>808425.87000000011</v>
      </c>
    </row>
    <row r="39" spans="2:7" ht="15" thickBot="1" x14ac:dyDescent="0.35">
      <c r="B39" s="6" t="s">
        <v>83</v>
      </c>
      <c r="C39" s="6">
        <f>C38/AEDtoZAR</f>
        <v>173481.94635193134</v>
      </c>
    </row>
    <row r="40" spans="2:7" ht="15" thickTop="1" x14ac:dyDescent="0.3">
      <c r="B40" s="4" t="s">
        <v>72</v>
      </c>
      <c r="C40" s="4" t="str">
        <f>INDEX($B$28:$B$36,MATCH(MAX($G$28:$G$36),$G$28:$G$36,0))</f>
        <v>Father Investment Account</v>
      </c>
    </row>
    <row r="41" spans="2:7" ht="15" thickBot="1" x14ac:dyDescent="0.35">
      <c r="B41" s="6" t="s">
        <v>73</v>
      </c>
      <c r="C41" s="6">
        <f>INDEX($C$28:$C$36,MATCH(C40,$B$28:$B$36,0))</f>
        <v>237944</v>
      </c>
    </row>
    <row r="42" spans="2:7" ht="15" thickTop="1" x14ac:dyDescent="0.3"/>
    <row r="43" spans="2:7" x14ac:dyDescent="0.3">
      <c r="B43" s="2" t="s">
        <v>104</v>
      </c>
      <c r="C43" s="2" t="s">
        <v>105</v>
      </c>
      <c r="D43" s="2" t="s">
        <v>106</v>
      </c>
      <c r="E43" s="2" t="s">
        <v>107</v>
      </c>
      <c r="F43" s="2" t="s">
        <v>108</v>
      </c>
      <c r="G43" s="2" t="s">
        <v>109</v>
      </c>
    </row>
    <row r="44" spans="2:7" x14ac:dyDescent="0.3">
      <c r="B44" s="8">
        <f>C38-C32-C31</f>
        <v>70481.870000000112</v>
      </c>
      <c r="C44" s="1">
        <f>B44/AEDtoZAR</f>
        <v>15124.864806866975</v>
      </c>
      <c r="D44" s="8">
        <f>50000*AEDtoZAR</f>
        <v>233000</v>
      </c>
      <c r="E44" s="1">
        <f>D44-B44</f>
        <v>162518.12999999989</v>
      </c>
      <c r="F44" s="8">
        <f>C31-E44</f>
        <v>75425.870000000112</v>
      </c>
      <c r="G44" s="8">
        <f>F44+C32</f>
        <v>575425.87000000011</v>
      </c>
    </row>
    <row r="45" spans="2:7" x14ac:dyDescent="0.3">
      <c r="G45" s="1">
        <f>15000*12</f>
        <v>180000</v>
      </c>
    </row>
    <row r="49" spans="2:7" x14ac:dyDescent="0.3">
      <c r="B49" s="2" t="s">
        <v>49</v>
      </c>
      <c r="C49" s="2" t="s">
        <v>48</v>
      </c>
      <c r="D49" s="2" t="s">
        <v>113</v>
      </c>
      <c r="E49" s="2" t="s">
        <v>114</v>
      </c>
    </row>
    <row r="50" spans="2:7" x14ac:dyDescent="0.3">
      <c r="B50" s="8" t="s">
        <v>111</v>
      </c>
      <c r="C50" s="7">
        <v>45982</v>
      </c>
      <c r="D50" s="8">
        <f>D44*0.5</f>
        <v>116500</v>
      </c>
      <c r="E50" s="1">
        <f>116500-206-450</f>
        <v>115844</v>
      </c>
      <c r="F50" s="1">
        <f>27000+79663</f>
        <v>106663</v>
      </c>
      <c r="G50" s="1">
        <f>E50-F50</f>
        <v>9181</v>
      </c>
    </row>
    <row r="51" spans="2:7" x14ac:dyDescent="0.3">
      <c r="B51" s="8" t="s">
        <v>112</v>
      </c>
      <c r="C51" s="7">
        <f>EDATE(C50,12)</f>
        <v>46347</v>
      </c>
      <c r="D51" s="8">
        <f>D50</f>
        <v>116500</v>
      </c>
    </row>
  </sheetData>
  <autoFilter ref="B27:G36" xr:uid="{00000000-0001-0000-0200-000000000000}">
    <sortState xmlns:xlrd2="http://schemas.microsoft.com/office/spreadsheetml/2017/richdata2" ref="B28:G36">
      <sortCondition descending="1" ref="G27:G36"/>
    </sortState>
  </autoFilter>
  <mergeCells count="4">
    <mergeCell ref="B26:G26"/>
    <mergeCell ref="B3:G3"/>
    <mergeCell ref="B20:G20"/>
    <mergeCell ref="B8:G8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89999084444715716"/>
  </sheetPr>
  <dimension ref="A2:K105"/>
  <sheetViews>
    <sheetView showGridLines="0" zoomScale="85" zoomScaleNormal="85" workbookViewId="0">
      <selection activeCell="E75" sqref="E75"/>
    </sheetView>
  </sheetViews>
  <sheetFormatPr defaultRowHeight="14.4" x14ac:dyDescent="0.3"/>
  <cols>
    <col min="1" max="1" width="2.21875" style="1" customWidth="1"/>
    <col min="2" max="2" width="12.77734375" style="1" bestFit="1" customWidth="1"/>
    <col min="3" max="3" width="23.88671875" style="1" bestFit="1" customWidth="1"/>
    <col min="4" max="4" width="39.44140625" style="1" bestFit="1" customWidth="1"/>
    <col min="5" max="5" width="30" style="1" bestFit="1" customWidth="1"/>
    <col min="6" max="6" width="29.77734375" style="1" bestFit="1" customWidth="1"/>
    <col min="7" max="7" width="43.109375" style="1" bestFit="1" customWidth="1"/>
    <col min="8" max="8" width="33.88671875" style="1" bestFit="1" customWidth="1"/>
    <col min="9" max="9" width="39.44140625" style="1" bestFit="1" customWidth="1"/>
    <col min="10" max="10" width="19.6640625" style="1" bestFit="1" customWidth="1"/>
    <col min="11" max="11" width="15.21875" style="1" bestFit="1" customWidth="1"/>
    <col min="12" max="16384" width="8.88671875" style="1"/>
  </cols>
  <sheetData>
    <row r="2" spans="1:10" x14ac:dyDescent="0.3">
      <c r="B2" s="32" t="s">
        <v>78</v>
      </c>
      <c r="C2" s="32"/>
      <c r="D2" s="32"/>
      <c r="E2" s="32"/>
      <c r="F2" s="32"/>
      <c r="G2" s="32"/>
      <c r="H2" s="32"/>
      <c r="I2" s="32"/>
      <c r="J2" s="32"/>
    </row>
    <row r="3" spans="1:10" customFormat="1" ht="19.95" customHeight="1" x14ac:dyDescent="0.3">
      <c r="A3" s="3"/>
      <c r="B3" s="24" t="s">
        <v>45</v>
      </c>
      <c r="C3" s="24" t="s">
        <v>46</v>
      </c>
      <c r="D3" s="24" t="s">
        <v>77</v>
      </c>
      <c r="E3" s="24" t="s">
        <v>21</v>
      </c>
      <c r="F3" s="24" t="s">
        <v>22</v>
      </c>
      <c r="G3" s="24" t="s">
        <v>24</v>
      </c>
      <c r="H3" s="24" t="s">
        <v>20</v>
      </c>
      <c r="I3" s="24" t="s">
        <v>76</v>
      </c>
      <c r="J3" s="24" t="s">
        <v>47</v>
      </c>
    </row>
    <row r="4" spans="1:10" customFormat="1" ht="19.95" customHeight="1" x14ac:dyDescent="0.3">
      <c r="A4" s="3"/>
      <c r="B4" s="20">
        <v>45962</v>
      </c>
      <c r="C4" s="25">
        <f>'Inputs &amp; Controls'!$B$3</f>
        <v>21100</v>
      </c>
      <c r="D4" s="21">
        <f>3000</f>
        <v>3000</v>
      </c>
      <c r="E4" s="21">
        <v>0</v>
      </c>
      <c r="F4" s="21">
        <v>0</v>
      </c>
      <c r="G4" s="21">
        <f>Budget!$C$19</f>
        <v>750</v>
      </c>
      <c r="H4" s="21">
        <f>Budget!$C$20</f>
        <v>643.77682403433471</v>
      </c>
      <c r="I4" s="25">
        <f>SUM(D4:H4)</f>
        <v>4393.7768240343348</v>
      </c>
      <c r="J4" s="25">
        <f>C4-I4</f>
        <v>16706.223175965664</v>
      </c>
    </row>
    <row r="5" spans="1:10" customFormat="1" ht="19.95" customHeight="1" x14ac:dyDescent="0.3">
      <c r="A5" s="3"/>
      <c r="B5" s="20">
        <f>EDATE(B4,1)</f>
        <v>45992</v>
      </c>
      <c r="C5" s="25">
        <f>'Inputs &amp; Controls'!$B$3</f>
        <v>21100</v>
      </c>
      <c r="D5" s="21">
        <v>10000</v>
      </c>
      <c r="E5" s="21">
        <f>Budget!$C$17</f>
        <v>1502.145922746781</v>
      </c>
      <c r="F5" s="21">
        <v>3000</v>
      </c>
      <c r="G5" s="21">
        <f>Budget!$C$19</f>
        <v>750</v>
      </c>
      <c r="H5" s="21">
        <f>Budget!$C$20</f>
        <v>643.77682403433471</v>
      </c>
      <c r="I5" s="25">
        <f>SUM(D5:H5)</f>
        <v>15895.922746781114</v>
      </c>
      <c r="J5" s="25">
        <f t="shared" ref="J5:J17" si="0">C5-I5</f>
        <v>5204.0772532188857</v>
      </c>
    </row>
    <row r="6" spans="1:10" x14ac:dyDescent="0.3">
      <c r="B6" s="20">
        <f t="shared" ref="B6:B17" si="1">EDATE(B5,1)</f>
        <v>46023</v>
      </c>
      <c r="C6" s="25">
        <f>'Inputs &amp; Controls'!$B$3</f>
        <v>21100</v>
      </c>
      <c r="D6" s="21">
        <f>Budget!G16</f>
        <v>7000</v>
      </c>
      <c r="E6" s="21">
        <f>Budget!$C$17</f>
        <v>1502.145922746781</v>
      </c>
      <c r="F6" s="21">
        <v>3000</v>
      </c>
      <c r="G6" s="21">
        <f>Budget!$C$19</f>
        <v>750</v>
      </c>
      <c r="H6" s="21">
        <f>Budget!$C$20</f>
        <v>643.77682403433471</v>
      </c>
      <c r="I6" s="25">
        <f t="shared" ref="I6:I17" si="2">SUM(D6:H6)</f>
        <v>12895.922746781114</v>
      </c>
      <c r="J6" s="25">
        <f t="shared" si="0"/>
        <v>8204.0772532188857</v>
      </c>
    </row>
    <row r="7" spans="1:10" x14ac:dyDescent="0.3">
      <c r="B7" s="20">
        <f t="shared" si="1"/>
        <v>46054</v>
      </c>
      <c r="C7" s="25">
        <f>'Inputs &amp; Controls'!$B$3</f>
        <v>21100</v>
      </c>
      <c r="D7" s="21">
        <f>D6</f>
        <v>7000</v>
      </c>
      <c r="E7" s="21">
        <f>Budget!$C$17</f>
        <v>1502.145922746781</v>
      </c>
      <c r="F7" s="21">
        <v>3000</v>
      </c>
      <c r="G7" s="21">
        <f>Budget!$C$19</f>
        <v>750</v>
      </c>
      <c r="H7" s="21">
        <f>Budget!$C$20</f>
        <v>643.77682403433471</v>
      </c>
      <c r="I7" s="25">
        <f t="shared" si="2"/>
        <v>12895.922746781114</v>
      </c>
      <c r="J7" s="25">
        <f t="shared" si="0"/>
        <v>8204.0772532188857</v>
      </c>
    </row>
    <row r="8" spans="1:10" x14ac:dyDescent="0.3">
      <c r="B8" s="20">
        <f t="shared" si="1"/>
        <v>46082</v>
      </c>
      <c r="C8" s="25">
        <f>'Inputs &amp; Controls'!$B$3</f>
        <v>21100</v>
      </c>
      <c r="D8" s="21">
        <f t="shared" ref="D8:D12" si="3">D7</f>
        <v>7000</v>
      </c>
      <c r="E8" s="21">
        <f>Budget!$C$17</f>
        <v>1502.145922746781</v>
      </c>
      <c r="F8" s="21">
        <v>3000</v>
      </c>
      <c r="G8" s="21">
        <f>Budget!$C$19</f>
        <v>750</v>
      </c>
      <c r="H8" s="21">
        <f>Budget!$C$20</f>
        <v>643.77682403433471</v>
      </c>
      <c r="I8" s="25">
        <f t="shared" si="2"/>
        <v>12895.922746781114</v>
      </c>
      <c r="J8" s="25">
        <f t="shared" si="0"/>
        <v>8204.0772532188857</v>
      </c>
    </row>
    <row r="9" spans="1:10" x14ac:dyDescent="0.3">
      <c r="B9" s="20">
        <f t="shared" si="1"/>
        <v>46113</v>
      </c>
      <c r="C9" s="25">
        <f>'Inputs &amp; Controls'!$B$3</f>
        <v>21100</v>
      </c>
      <c r="D9" s="21">
        <f t="shared" si="3"/>
        <v>7000</v>
      </c>
      <c r="E9" s="21">
        <f>Budget!$C$17</f>
        <v>1502.145922746781</v>
      </c>
      <c r="F9" s="21">
        <v>3000</v>
      </c>
      <c r="G9" s="21">
        <f>Budget!$C$19</f>
        <v>750</v>
      </c>
      <c r="H9" s="21">
        <f>Budget!$C$20</f>
        <v>643.77682403433471</v>
      </c>
      <c r="I9" s="25">
        <f t="shared" si="2"/>
        <v>12895.922746781114</v>
      </c>
      <c r="J9" s="25">
        <f t="shared" si="0"/>
        <v>8204.0772532188857</v>
      </c>
    </row>
    <row r="10" spans="1:10" x14ac:dyDescent="0.3">
      <c r="B10" s="20">
        <f t="shared" si="1"/>
        <v>46143</v>
      </c>
      <c r="C10" s="25">
        <f>'Inputs &amp; Controls'!$B$3</f>
        <v>21100</v>
      </c>
      <c r="D10" s="21">
        <f t="shared" si="3"/>
        <v>7000</v>
      </c>
      <c r="E10" s="21">
        <f>Budget!$C$17</f>
        <v>1502.145922746781</v>
      </c>
      <c r="F10" s="21">
        <v>3000</v>
      </c>
      <c r="G10" s="21">
        <f>Budget!$C$19</f>
        <v>750</v>
      </c>
      <c r="H10" s="21">
        <f>Budget!$C$20</f>
        <v>643.77682403433471</v>
      </c>
      <c r="I10" s="25">
        <f t="shared" si="2"/>
        <v>12895.922746781114</v>
      </c>
      <c r="J10" s="25">
        <f t="shared" si="0"/>
        <v>8204.0772532188857</v>
      </c>
    </row>
    <row r="11" spans="1:10" x14ac:dyDescent="0.3">
      <c r="B11" s="20">
        <f t="shared" si="1"/>
        <v>46174</v>
      </c>
      <c r="C11" s="25">
        <f>'Inputs &amp; Controls'!$B$3</f>
        <v>21100</v>
      </c>
      <c r="D11" s="21">
        <f t="shared" si="3"/>
        <v>7000</v>
      </c>
      <c r="E11" s="21">
        <f>Budget!$C$17</f>
        <v>1502.145922746781</v>
      </c>
      <c r="F11" s="21">
        <v>3000</v>
      </c>
      <c r="G11" s="21">
        <f>Budget!$C$19</f>
        <v>750</v>
      </c>
      <c r="H11" s="21">
        <f>Budget!$C$20</f>
        <v>643.77682403433471</v>
      </c>
      <c r="I11" s="25">
        <f t="shared" si="2"/>
        <v>12895.922746781114</v>
      </c>
      <c r="J11" s="25">
        <f t="shared" si="0"/>
        <v>8204.0772532188857</v>
      </c>
    </row>
    <row r="12" spans="1:10" x14ac:dyDescent="0.3">
      <c r="B12" s="20">
        <f t="shared" si="1"/>
        <v>46204</v>
      </c>
      <c r="C12" s="25">
        <f>'Inputs &amp; Controls'!$B$3</f>
        <v>21100</v>
      </c>
      <c r="D12" s="21">
        <f t="shared" si="3"/>
        <v>7000</v>
      </c>
      <c r="E12" s="21">
        <f>Budget!$C$17</f>
        <v>1502.145922746781</v>
      </c>
      <c r="F12" s="21">
        <v>3000</v>
      </c>
      <c r="G12" s="21">
        <f>Budget!$C$19</f>
        <v>750</v>
      </c>
      <c r="H12" s="21">
        <f>Budget!$C$20</f>
        <v>643.77682403433471</v>
      </c>
      <c r="I12" s="25">
        <f t="shared" si="2"/>
        <v>12895.922746781114</v>
      </c>
      <c r="J12" s="25">
        <f t="shared" si="0"/>
        <v>8204.0772532188857</v>
      </c>
    </row>
    <row r="13" spans="1:10" x14ac:dyDescent="0.3">
      <c r="B13" s="20">
        <f t="shared" si="1"/>
        <v>46235</v>
      </c>
      <c r="C13" s="25">
        <f>'Inputs &amp; Controls'!$B$3</f>
        <v>21100</v>
      </c>
      <c r="D13" s="21">
        <f>'Inputs &amp; Controls'!$B$4</f>
        <v>13700</v>
      </c>
      <c r="E13" s="21">
        <f>Budget!$C$17</f>
        <v>1502.145922746781</v>
      </c>
      <c r="F13" s="21">
        <v>3000</v>
      </c>
      <c r="G13" s="21">
        <f>Budget!$C$19</f>
        <v>750</v>
      </c>
      <c r="H13" s="21">
        <f>Budget!$C$20</f>
        <v>643.77682403433471</v>
      </c>
      <c r="I13" s="25">
        <f t="shared" si="2"/>
        <v>19595.922746781114</v>
      </c>
      <c r="J13" s="25">
        <f t="shared" si="0"/>
        <v>1504.0772532188857</v>
      </c>
    </row>
    <row r="14" spans="1:10" x14ac:dyDescent="0.3">
      <c r="B14" s="20">
        <f t="shared" si="1"/>
        <v>46266</v>
      </c>
      <c r="C14" s="25">
        <f>'Inputs &amp; Controls'!$B$3</f>
        <v>21100</v>
      </c>
      <c r="D14" s="21">
        <f>'Inputs &amp; Controls'!$B$4</f>
        <v>13700</v>
      </c>
      <c r="E14" s="21">
        <f>Budget!$C$17</f>
        <v>1502.145922746781</v>
      </c>
      <c r="F14" s="21">
        <v>3000</v>
      </c>
      <c r="G14" s="21">
        <f>Budget!$C$19</f>
        <v>750</v>
      </c>
      <c r="H14" s="21">
        <f>Budget!$C$20</f>
        <v>643.77682403433471</v>
      </c>
      <c r="I14" s="25">
        <f t="shared" si="2"/>
        <v>19595.922746781114</v>
      </c>
      <c r="J14" s="25">
        <f t="shared" si="0"/>
        <v>1504.0772532188857</v>
      </c>
    </row>
    <row r="15" spans="1:10" x14ac:dyDescent="0.3">
      <c r="B15" s="20">
        <f t="shared" si="1"/>
        <v>46296</v>
      </c>
      <c r="C15" s="25">
        <f>'Inputs &amp; Controls'!$B$3</f>
        <v>21100</v>
      </c>
      <c r="D15" s="21">
        <f>'Inputs &amp; Controls'!$B$4</f>
        <v>13700</v>
      </c>
      <c r="E15" s="21">
        <f>Budget!$C$17</f>
        <v>1502.145922746781</v>
      </c>
      <c r="F15" s="21">
        <v>3000</v>
      </c>
      <c r="G15" s="21">
        <f>Budget!$C$19</f>
        <v>750</v>
      </c>
      <c r="H15" s="21">
        <f>Budget!$C$20</f>
        <v>643.77682403433471</v>
      </c>
      <c r="I15" s="25">
        <f t="shared" si="2"/>
        <v>19595.922746781114</v>
      </c>
      <c r="J15" s="25">
        <f t="shared" si="0"/>
        <v>1504.0772532188857</v>
      </c>
    </row>
    <row r="16" spans="1:10" x14ac:dyDescent="0.3">
      <c r="B16" s="20">
        <f t="shared" si="1"/>
        <v>46327</v>
      </c>
      <c r="C16" s="25">
        <f>'Inputs &amp; Controls'!$B$3</f>
        <v>21100</v>
      </c>
      <c r="D16" s="21">
        <f>'Inputs &amp; Controls'!$B$4</f>
        <v>13700</v>
      </c>
      <c r="E16" s="21">
        <f>Budget!$C$17</f>
        <v>1502.145922746781</v>
      </c>
      <c r="F16" s="21">
        <v>3000</v>
      </c>
      <c r="G16" s="21">
        <f>Budget!$C$19</f>
        <v>750</v>
      </c>
      <c r="H16" s="21">
        <f>Budget!$C$20</f>
        <v>643.77682403433471</v>
      </c>
      <c r="I16" s="25">
        <f t="shared" si="2"/>
        <v>19595.922746781114</v>
      </c>
      <c r="J16" s="25">
        <f t="shared" si="0"/>
        <v>1504.0772532188857</v>
      </c>
    </row>
    <row r="17" spans="2:10" x14ac:dyDescent="0.3">
      <c r="B17" s="20">
        <f t="shared" si="1"/>
        <v>46357</v>
      </c>
      <c r="C17" s="25">
        <f>'Inputs &amp; Controls'!$B$3</f>
        <v>21100</v>
      </c>
      <c r="D17" s="21">
        <f>'Inputs &amp; Controls'!$B$4</f>
        <v>13700</v>
      </c>
      <c r="E17" s="21">
        <f>Budget!$C$17</f>
        <v>1502.145922746781</v>
      </c>
      <c r="F17" s="21">
        <v>3000</v>
      </c>
      <c r="G17" s="21">
        <f>Budget!$C$19</f>
        <v>750</v>
      </c>
      <c r="H17" s="21">
        <f>Budget!$C$20</f>
        <v>643.77682403433471</v>
      </c>
      <c r="I17" s="25">
        <f t="shared" si="2"/>
        <v>19595.922746781114</v>
      </c>
      <c r="J17" s="25">
        <f t="shared" si="0"/>
        <v>1504.0772532188857</v>
      </c>
    </row>
    <row r="18" spans="2:10" x14ac:dyDescent="0.3">
      <c r="B18" s="20">
        <f t="shared" ref="B18:B25" si="4">EDATE(B17,1)</f>
        <v>46388</v>
      </c>
      <c r="C18" s="25">
        <f>'Inputs &amp; Controls'!$B$3</f>
        <v>21100</v>
      </c>
      <c r="D18" s="21">
        <f>'Inputs &amp; Controls'!$B$4</f>
        <v>13700</v>
      </c>
      <c r="E18" s="21">
        <f>Budget!$C$17</f>
        <v>1502.145922746781</v>
      </c>
      <c r="F18" s="21">
        <v>3000</v>
      </c>
      <c r="G18" s="21">
        <f>Budget!$C$19</f>
        <v>750</v>
      </c>
      <c r="H18" s="21">
        <f>Budget!$C$20</f>
        <v>643.77682403433471</v>
      </c>
      <c r="I18" s="25">
        <f t="shared" ref="I18:I25" si="5">SUM(D18:H18)</f>
        <v>19595.922746781114</v>
      </c>
      <c r="J18" s="25">
        <f t="shared" ref="J18:J25" si="6">C18-I18</f>
        <v>1504.0772532188857</v>
      </c>
    </row>
    <row r="19" spans="2:10" x14ac:dyDescent="0.3">
      <c r="B19" s="20">
        <f t="shared" si="4"/>
        <v>46419</v>
      </c>
      <c r="C19" s="25">
        <f>'Inputs &amp; Controls'!$B$3</f>
        <v>21100</v>
      </c>
      <c r="D19" s="21">
        <f>'Inputs &amp; Controls'!$B$4</f>
        <v>13700</v>
      </c>
      <c r="E19" s="21">
        <f>Budget!$C$17</f>
        <v>1502.145922746781</v>
      </c>
      <c r="F19" s="21">
        <v>3000</v>
      </c>
      <c r="G19" s="21">
        <f>Budget!$C$19</f>
        <v>750</v>
      </c>
      <c r="H19" s="21">
        <f>Budget!$C$20</f>
        <v>643.77682403433471</v>
      </c>
      <c r="I19" s="25">
        <f t="shared" si="5"/>
        <v>19595.922746781114</v>
      </c>
      <c r="J19" s="25">
        <f t="shared" si="6"/>
        <v>1504.0772532188857</v>
      </c>
    </row>
    <row r="20" spans="2:10" x14ac:dyDescent="0.3">
      <c r="B20" s="20">
        <f t="shared" si="4"/>
        <v>46447</v>
      </c>
      <c r="C20" s="25">
        <f>'Inputs &amp; Controls'!$B$3</f>
        <v>21100</v>
      </c>
      <c r="D20" s="21">
        <f>'Inputs &amp; Controls'!$B$4</f>
        <v>13700</v>
      </c>
      <c r="E20" s="21">
        <f>Budget!$C$17</f>
        <v>1502.145922746781</v>
      </c>
      <c r="F20" s="21">
        <v>3000</v>
      </c>
      <c r="G20" s="21">
        <f>Budget!$C$19</f>
        <v>750</v>
      </c>
      <c r="H20" s="21">
        <f>Budget!$C$20</f>
        <v>643.77682403433471</v>
      </c>
      <c r="I20" s="25">
        <f t="shared" si="5"/>
        <v>19595.922746781114</v>
      </c>
      <c r="J20" s="25">
        <f t="shared" si="6"/>
        <v>1504.0772532188857</v>
      </c>
    </row>
    <row r="21" spans="2:10" x14ac:dyDescent="0.3">
      <c r="B21" s="20">
        <f t="shared" si="4"/>
        <v>46478</v>
      </c>
      <c r="C21" s="25">
        <f>'Inputs &amp; Controls'!$B$3</f>
        <v>21100</v>
      </c>
      <c r="D21" s="21">
        <f>'Inputs &amp; Controls'!$B$4</f>
        <v>13700</v>
      </c>
      <c r="E21" s="21">
        <f>Budget!$C$17</f>
        <v>1502.145922746781</v>
      </c>
      <c r="F21" s="21">
        <v>3000</v>
      </c>
      <c r="G21" s="21">
        <f>Budget!$C$19</f>
        <v>750</v>
      </c>
      <c r="H21" s="21">
        <f>Budget!$C$20</f>
        <v>643.77682403433471</v>
      </c>
      <c r="I21" s="25">
        <f t="shared" si="5"/>
        <v>19595.922746781114</v>
      </c>
      <c r="J21" s="25">
        <f t="shared" si="6"/>
        <v>1504.0772532188857</v>
      </c>
    </row>
    <row r="22" spans="2:10" x14ac:dyDescent="0.3">
      <c r="B22" s="20">
        <f t="shared" si="4"/>
        <v>46508</v>
      </c>
      <c r="C22" s="25">
        <f>'Inputs &amp; Controls'!$B$3</f>
        <v>21100</v>
      </c>
      <c r="D22" s="21">
        <f>'Inputs &amp; Controls'!$B$4</f>
        <v>13700</v>
      </c>
      <c r="E22" s="21">
        <f>Budget!$C$17</f>
        <v>1502.145922746781</v>
      </c>
      <c r="F22" s="21">
        <v>3000</v>
      </c>
      <c r="G22" s="21">
        <f>Budget!$C$19</f>
        <v>750</v>
      </c>
      <c r="H22" s="21">
        <f>Budget!$C$20</f>
        <v>643.77682403433471</v>
      </c>
      <c r="I22" s="25">
        <f t="shared" si="5"/>
        <v>19595.922746781114</v>
      </c>
      <c r="J22" s="25">
        <f t="shared" si="6"/>
        <v>1504.0772532188857</v>
      </c>
    </row>
    <row r="23" spans="2:10" x14ac:dyDescent="0.3">
      <c r="B23" s="20">
        <f t="shared" si="4"/>
        <v>46539</v>
      </c>
      <c r="C23" s="25">
        <f>'Inputs &amp; Controls'!$B$3</f>
        <v>21100</v>
      </c>
      <c r="D23" s="21">
        <f>'Inputs &amp; Controls'!$B$4</f>
        <v>13700</v>
      </c>
      <c r="E23" s="21">
        <f>Budget!$C$17</f>
        <v>1502.145922746781</v>
      </c>
      <c r="F23" s="21">
        <v>3000</v>
      </c>
      <c r="G23" s="21">
        <f>Budget!$C$19</f>
        <v>750</v>
      </c>
      <c r="H23" s="21">
        <f>Budget!$C$20</f>
        <v>643.77682403433471</v>
      </c>
      <c r="I23" s="25">
        <f t="shared" si="5"/>
        <v>19595.922746781114</v>
      </c>
      <c r="J23" s="25">
        <f t="shared" si="6"/>
        <v>1504.0772532188857</v>
      </c>
    </row>
    <row r="24" spans="2:10" x14ac:dyDescent="0.3">
      <c r="B24" s="20">
        <f t="shared" si="4"/>
        <v>46569</v>
      </c>
      <c r="C24" s="25">
        <f>'Inputs &amp; Controls'!$B$3</f>
        <v>21100</v>
      </c>
      <c r="D24" s="21">
        <f>'Inputs &amp; Controls'!$B$4</f>
        <v>13700</v>
      </c>
      <c r="E24" s="21">
        <f>Budget!$C$17</f>
        <v>1502.145922746781</v>
      </c>
      <c r="F24" s="21">
        <v>3000</v>
      </c>
      <c r="G24" s="21">
        <f>Budget!$C$19</f>
        <v>750</v>
      </c>
      <c r="H24" s="21">
        <f>Budget!$C$20</f>
        <v>643.77682403433471</v>
      </c>
      <c r="I24" s="25">
        <f t="shared" si="5"/>
        <v>19595.922746781114</v>
      </c>
      <c r="J24" s="25">
        <f t="shared" si="6"/>
        <v>1504.0772532188857</v>
      </c>
    </row>
    <row r="25" spans="2:10" x14ac:dyDescent="0.3">
      <c r="B25" s="20">
        <f t="shared" si="4"/>
        <v>46600</v>
      </c>
      <c r="C25" s="25">
        <f>'Inputs &amp; Controls'!$B$3</f>
        <v>21100</v>
      </c>
      <c r="D25" s="21">
        <f>'Inputs &amp; Controls'!$B$4</f>
        <v>13700</v>
      </c>
      <c r="E25" s="21">
        <f>Budget!$C$17</f>
        <v>1502.145922746781</v>
      </c>
      <c r="F25" s="21">
        <v>3000</v>
      </c>
      <c r="G25" s="21">
        <f>Budget!$C$19</f>
        <v>750</v>
      </c>
      <c r="H25" s="21">
        <f>Budget!$C$20</f>
        <v>643.77682403433471</v>
      </c>
      <c r="I25" s="25">
        <f t="shared" si="5"/>
        <v>19595.922746781114</v>
      </c>
      <c r="J25" s="25">
        <f t="shared" si="6"/>
        <v>1504.0772532188857</v>
      </c>
    </row>
    <row r="26" spans="2:10" x14ac:dyDescent="0.3">
      <c r="B26" s="20">
        <f t="shared" ref="B26:B27" si="7">EDATE(B25,1)</f>
        <v>46631</v>
      </c>
      <c r="C26" s="25">
        <f>'Inputs &amp; Controls'!$B$3</f>
        <v>21100</v>
      </c>
      <c r="D26" s="21">
        <f>'Inputs &amp; Controls'!$B$4</f>
        <v>13700</v>
      </c>
      <c r="E26" s="21">
        <f>Budget!$C$17</f>
        <v>1502.145922746781</v>
      </c>
      <c r="F26" s="21">
        <v>3000</v>
      </c>
      <c r="G26" s="21">
        <f>Budget!$C$19</f>
        <v>750</v>
      </c>
      <c r="H26" s="21">
        <f>Budget!$C$20</f>
        <v>643.77682403433471</v>
      </c>
      <c r="I26" s="25">
        <f t="shared" ref="I26:I27" si="8">SUM(D26:H26)</f>
        <v>19595.922746781114</v>
      </c>
      <c r="J26" s="25">
        <f t="shared" ref="J26:J27" si="9">C26-I26</f>
        <v>1504.0772532188857</v>
      </c>
    </row>
    <row r="27" spans="2:10" x14ac:dyDescent="0.3">
      <c r="B27" s="20">
        <f t="shared" si="7"/>
        <v>46661</v>
      </c>
      <c r="C27" s="25">
        <f>'Inputs &amp; Controls'!$B$3</f>
        <v>21100</v>
      </c>
      <c r="D27" s="21">
        <f>'Inputs &amp; Controls'!$B$4</f>
        <v>13700</v>
      </c>
      <c r="E27" s="21">
        <f>Budget!$C$17</f>
        <v>1502.145922746781</v>
      </c>
      <c r="F27" s="21">
        <v>3000</v>
      </c>
      <c r="G27" s="21">
        <f>Budget!$C$19</f>
        <v>750</v>
      </c>
      <c r="H27" s="21">
        <f>Budget!$C$20</f>
        <v>643.77682403433471</v>
      </c>
      <c r="I27" s="25">
        <f t="shared" si="8"/>
        <v>19595.922746781114</v>
      </c>
      <c r="J27" s="25">
        <f t="shared" si="9"/>
        <v>1504.0772532188857</v>
      </c>
    </row>
    <row r="28" spans="2:10" x14ac:dyDescent="0.3">
      <c r="B28" s="20">
        <f t="shared" ref="B28:B30" si="10">EDATE(B27,1)</f>
        <v>46692</v>
      </c>
      <c r="C28" s="25">
        <f>'Inputs &amp; Controls'!$B$3</f>
        <v>21100</v>
      </c>
      <c r="D28" s="21">
        <f>'Inputs &amp; Controls'!$B$4</f>
        <v>13700</v>
      </c>
      <c r="E28" s="21">
        <f>Budget!$C$17</f>
        <v>1502.145922746781</v>
      </c>
      <c r="F28" s="21">
        <v>3000</v>
      </c>
      <c r="G28" s="21">
        <f>Budget!$C$19</f>
        <v>750</v>
      </c>
      <c r="H28" s="21">
        <f>Budget!$C$20</f>
        <v>643.77682403433471</v>
      </c>
      <c r="I28" s="25">
        <f t="shared" ref="I28:I30" si="11">SUM(D28:H28)</f>
        <v>19595.922746781114</v>
      </c>
      <c r="J28" s="25">
        <f t="shared" ref="J28:J30" si="12">C28-I28</f>
        <v>1504.0772532188857</v>
      </c>
    </row>
    <row r="29" spans="2:10" x14ac:dyDescent="0.3">
      <c r="B29" s="20">
        <f t="shared" si="10"/>
        <v>46722</v>
      </c>
      <c r="C29" s="25">
        <f>'Inputs &amp; Controls'!$B$3</f>
        <v>21100</v>
      </c>
      <c r="D29" s="21">
        <f>'Inputs &amp; Controls'!$B$4</f>
        <v>13700</v>
      </c>
      <c r="E29" s="21">
        <f>Budget!$C$17</f>
        <v>1502.145922746781</v>
      </c>
      <c r="F29" s="21">
        <v>3000</v>
      </c>
      <c r="G29" s="21">
        <f>Budget!$C$19</f>
        <v>750</v>
      </c>
      <c r="H29" s="21">
        <f>Budget!$C$20</f>
        <v>643.77682403433471</v>
      </c>
      <c r="I29" s="25">
        <f t="shared" si="11"/>
        <v>19595.922746781114</v>
      </c>
      <c r="J29" s="25">
        <f t="shared" si="12"/>
        <v>1504.0772532188857</v>
      </c>
    </row>
    <row r="30" spans="2:10" x14ac:dyDescent="0.3">
      <c r="B30" s="20">
        <f t="shared" si="10"/>
        <v>46753</v>
      </c>
      <c r="C30" s="25">
        <f>'Inputs &amp; Controls'!$B$3</f>
        <v>21100</v>
      </c>
      <c r="D30" s="21">
        <f>'Inputs &amp; Controls'!$B$4</f>
        <v>13700</v>
      </c>
      <c r="E30" s="21">
        <f>Budget!$C$17</f>
        <v>1502.145922746781</v>
      </c>
      <c r="F30" s="21">
        <v>3000</v>
      </c>
      <c r="G30" s="21">
        <f>Budget!$C$19</f>
        <v>750</v>
      </c>
      <c r="H30" s="21">
        <f>Budget!$C$20</f>
        <v>643.77682403433471</v>
      </c>
      <c r="I30" s="25">
        <f t="shared" si="11"/>
        <v>19595.922746781114</v>
      </c>
      <c r="J30" s="25">
        <f t="shared" si="12"/>
        <v>1504.0772532188857</v>
      </c>
    </row>
    <row r="31" spans="2:10" x14ac:dyDescent="0.3">
      <c r="B31" s="7"/>
    </row>
    <row r="32" spans="2:10" x14ac:dyDescent="0.3">
      <c r="B32" s="33" t="s">
        <v>84</v>
      </c>
      <c r="C32" s="33"/>
      <c r="D32" s="33"/>
      <c r="E32" s="33"/>
      <c r="F32" s="33"/>
      <c r="G32" s="33"/>
      <c r="H32" s="33"/>
    </row>
    <row r="33" spans="2:8" x14ac:dyDescent="0.3">
      <c r="B33" s="23" t="s">
        <v>45</v>
      </c>
      <c r="C33" s="23" t="s">
        <v>81</v>
      </c>
      <c r="D33" s="23" t="str">
        <f>'Inputs &amp; Controls'!A17</f>
        <v>Emergency Fund</v>
      </c>
      <c r="E33" s="23" t="str">
        <f>'Inputs &amp; Controls'!A18</f>
        <v>Startup Seed Fund</v>
      </c>
      <c r="F33" s="23" t="str">
        <f>'Inputs &amp; Controls'!A19</f>
        <v>Political Development Fund</v>
      </c>
      <c r="G33" s="23" t="s">
        <v>21</v>
      </c>
      <c r="H33" s="23" t="s">
        <v>80</v>
      </c>
    </row>
    <row r="34" spans="2:8" x14ac:dyDescent="0.3">
      <c r="B34" s="20">
        <f t="shared" ref="B34:B60" si="13">B4</f>
        <v>45962</v>
      </c>
      <c r="C34" s="22">
        <f>'Assets and Liabilities'!C38-'Assets and Liabilities'!B44</f>
        <v>737944</v>
      </c>
      <c r="D34" s="21">
        <f>$G$4/3</f>
        <v>250</v>
      </c>
      <c r="E34" s="21">
        <f>$G$4/3</f>
        <v>250</v>
      </c>
      <c r="F34" s="21">
        <f>$G$4/3</f>
        <v>250</v>
      </c>
      <c r="G34" s="22">
        <f>E4*AEDtoZAR</f>
        <v>0</v>
      </c>
      <c r="H34" s="22">
        <f>'Assets and Liabilities'!C36-13000</f>
        <v>1345083</v>
      </c>
    </row>
    <row r="35" spans="2:8" x14ac:dyDescent="0.3">
      <c r="B35" s="20">
        <f t="shared" si="13"/>
        <v>45992</v>
      </c>
      <c r="C35" s="22">
        <f t="shared" ref="C35:C60" si="14">C34-(F5*AEDtoZAR)</f>
        <v>723964</v>
      </c>
      <c r="D35" s="21">
        <f t="shared" ref="D35:D47" si="15">D34+G5/3</f>
        <v>500</v>
      </c>
      <c r="E35" s="21">
        <f t="shared" ref="E35:E47" si="16">E34+G5/3</f>
        <v>500</v>
      </c>
      <c r="F35" s="21">
        <f t="shared" ref="F35:F47" si="17">F34+G5/3</f>
        <v>500</v>
      </c>
      <c r="G35" s="22">
        <f t="shared" ref="G35:G60" si="18">G34+E5*AEDtoZAR</f>
        <v>7000</v>
      </c>
      <c r="H35" s="22">
        <f>H34-13000</f>
        <v>1332083</v>
      </c>
    </row>
    <row r="36" spans="2:8" x14ac:dyDescent="0.3">
      <c r="B36" s="20">
        <f t="shared" si="13"/>
        <v>46023</v>
      </c>
      <c r="C36" s="22">
        <f t="shared" si="14"/>
        <v>709984</v>
      </c>
      <c r="D36" s="21">
        <f t="shared" si="15"/>
        <v>750</v>
      </c>
      <c r="E36" s="21">
        <f t="shared" si="16"/>
        <v>750</v>
      </c>
      <c r="F36" s="21">
        <f t="shared" si="17"/>
        <v>750</v>
      </c>
      <c r="G36" s="22">
        <f t="shared" si="18"/>
        <v>14000</v>
      </c>
      <c r="H36" s="22">
        <f t="shared" ref="H36:H47" si="19">H35-13000</f>
        <v>1319083</v>
      </c>
    </row>
    <row r="37" spans="2:8" x14ac:dyDescent="0.3">
      <c r="B37" s="20">
        <f t="shared" si="13"/>
        <v>46054</v>
      </c>
      <c r="C37" s="22">
        <f t="shared" si="14"/>
        <v>696004</v>
      </c>
      <c r="D37" s="21">
        <f t="shared" si="15"/>
        <v>1000</v>
      </c>
      <c r="E37" s="21">
        <f t="shared" si="16"/>
        <v>1000</v>
      </c>
      <c r="F37" s="21">
        <f t="shared" si="17"/>
        <v>1000</v>
      </c>
      <c r="G37" s="22">
        <f t="shared" si="18"/>
        <v>21000</v>
      </c>
      <c r="H37" s="22">
        <f t="shared" si="19"/>
        <v>1306083</v>
      </c>
    </row>
    <row r="38" spans="2:8" x14ac:dyDescent="0.3">
      <c r="B38" s="20">
        <f t="shared" si="13"/>
        <v>46082</v>
      </c>
      <c r="C38" s="22">
        <f t="shared" si="14"/>
        <v>682024</v>
      </c>
      <c r="D38" s="21">
        <f t="shared" si="15"/>
        <v>1250</v>
      </c>
      <c r="E38" s="21">
        <f t="shared" si="16"/>
        <v>1250</v>
      </c>
      <c r="F38" s="21">
        <f t="shared" si="17"/>
        <v>1250</v>
      </c>
      <c r="G38" s="22">
        <f t="shared" si="18"/>
        <v>28000</v>
      </c>
      <c r="H38" s="22">
        <f t="shared" si="19"/>
        <v>1293083</v>
      </c>
    </row>
    <row r="39" spans="2:8" x14ac:dyDescent="0.3">
      <c r="B39" s="20">
        <f t="shared" si="13"/>
        <v>46113</v>
      </c>
      <c r="C39" s="22">
        <f t="shared" si="14"/>
        <v>668044</v>
      </c>
      <c r="D39" s="21">
        <f t="shared" si="15"/>
        <v>1500</v>
      </c>
      <c r="E39" s="21">
        <f t="shared" si="16"/>
        <v>1500</v>
      </c>
      <c r="F39" s="21">
        <f t="shared" si="17"/>
        <v>1500</v>
      </c>
      <c r="G39" s="22">
        <f t="shared" si="18"/>
        <v>35000</v>
      </c>
      <c r="H39" s="22">
        <f t="shared" si="19"/>
        <v>1280083</v>
      </c>
    </row>
    <row r="40" spans="2:8" x14ac:dyDescent="0.3">
      <c r="B40" s="20">
        <f t="shared" si="13"/>
        <v>46143</v>
      </c>
      <c r="C40" s="22">
        <f t="shared" si="14"/>
        <v>654064</v>
      </c>
      <c r="D40" s="21">
        <f t="shared" si="15"/>
        <v>1750</v>
      </c>
      <c r="E40" s="21">
        <f t="shared" si="16"/>
        <v>1750</v>
      </c>
      <c r="F40" s="21">
        <f t="shared" si="17"/>
        <v>1750</v>
      </c>
      <c r="G40" s="22">
        <f t="shared" si="18"/>
        <v>42000</v>
      </c>
      <c r="H40" s="22">
        <f t="shared" si="19"/>
        <v>1267083</v>
      </c>
    </row>
    <row r="41" spans="2:8" x14ac:dyDescent="0.3">
      <c r="B41" s="20">
        <f t="shared" si="13"/>
        <v>46174</v>
      </c>
      <c r="C41" s="22">
        <f t="shared" si="14"/>
        <v>640084</v>
      </c>
      <c r="D41" s="21">
        <f t="shared" si="15"/>
        <v>2000</v>
      </c>
      <c r="E41" s="21">
        <f t="shared" si="16"/>
        <v>2000</v>
      </c>
      <c r="F41" s="21">
        <f t="shared" si="17"/>
        <v>2000</v>
      </c>
      <c r="G41" s="22">
        <f t="shared" si="18"/>
        <v>49000</v>
      </c>
      <c r="H41" s="22">
        <f t="shared" si="19"/>
        <v>1254083</v>
      </c>
    </row>
    <row r="42" spans="2:8" x14ac:dyDescent="0.3">
      <c r="B42" s="20">
        <f t="shared" si="13"/>
        <v>46204</v>
      </c>
      <c r="C42" s="22">
        <f t="shared" si="14"/>
        <v>626104</v>
      </c>
      <c r="D42" s="21">
        <f t="shared" si="15"/>
        <v>2250</v>
      </c>
      <c r="E42" s="21">
        <f t="shared" si="16"/>
        <v>2250</v>
      </c>
      <c r="F42" s="21">
        <f t="shared" si="17"/>
        <v>2250</v>
      </c>
      <c r="G42" s="22">
        <f t="shared" si="18"/>
        <v>56000</v>
      </c>
      <c r="H42" s="22">
        <f t="shared" si="19"/>
        <v>1241083</v>
      </c>
    </row>
    <row r="43" spans="2:8" x14ac:dyDescent="0.3">
      <c r="B43" s="20">
        <f t="shared" si="13"/>
        <v>46235</v>
      </c>
      <c r="C43" s="22">
        <f t="shared" si="14"/>
        <v>612124</v>
      </c>
      <c r="D43" s="21">
        <f t="shared" si="15"/>
        <v>2500</v>
      </c>
      <c r="E43" s="21">
        <f t="shared" si="16"/>
        <v>2500</v>
      </c>
      <c r="F43" s="21">
        <f t="shared" si="17"/>
        <v>2500</v>
      </c>
      <c r="G43" s="22">
        <f t="shared" si="18"/>
        <v>63000</v>
      </c>
      <c r="H43" s="22">
        <f t="shared" si="19"/>
        <v>1228083</v>
      </c>
    </row>
    <row r="44" spans="2:8" x14ac:dyDescent="0.3">
      <c r="B44" s="20">
        <f t="shared" si="13"/>
        <v>46266</v>
      </c>
      <c r="C44" s="22">
        <f t="shared" si="14"/>
        <v>598144</v>
      </c>
      <c r="D44" s="21">
        <f t="shared" si="15"/>
        <v>2750</v>
      </c>
      <c r="E44" s="21">
        <f t="shared" si="16"/>
        <v>2750</v>
      </c>
      <c r="F44" s="21">
        <f t="shared" si="17"/>
        <v>2750</v>
      </c>
      <c r="G44" s="22">
        <f t="shared" si="18"/>
        <v>70000</v>
      </c>
      <c r="H44" s="22">
        <f t="shared" si="19"/>
        <v>1215083</v>
      </c>
    </row>
    <row r="45" spans="2:8" x14ac:dyDescent="0.3">
      <c r="B45" s="20">
        <f t="shared" si="13"/>
        <v>46296</v>
      </c>
      <c r="C45" s="22">
        <f t="shared" si="14"/>
        <v>584164</v>
      </c>
      <c r="D45" s="21">
        <f t="shared" si="15"/>
        <v>3000</v>
      </c>
      <c r="E45" s="21">
        <f t="shared" si="16"/>
        <v>3000</v>
      </c>
      <c r="F45" s="21">
        <f t="shared" si="17"/>
        <v>3000</v>
      </c>
      <c r="G45" s="22">
        <f t="shared" si="18"/>
        <v>77000</v>
      </c>
      <c r="H45" s="22">
        <f t="shared" si="19"/>
        <v>1202083</v>
      </c>
    </row>
    <row r="46" spans="2:8" x14ac:dyDescent="0.3">
      <c r="B46" s="20">
        <f t="shared" si="13"/>
        <v>46327</v>
      </c>
      <c r="C46" s="22">
        <f t="shared" si="14"/>
        <v>570184</v>
      </c>
      <c r="D46" s="21">
        <f t="shared" si="15"/>
        <v>3250</v>
      </c>
      <c r="E46" s="21">
        <f t="shared" si="16"/>
        <v>3250</v>
      </c>
      <c r="F46" s="21">
        <f t="shared" si="17"/>
        <v>3250</v>
      </c>
      <c r="G46" s="22">
        <f t="shared" si="18"/>
        <v>84000</v>
      </c>
      <c r="H46" s="22">
        <f t="shared" si="19"/>
        <v>1189083</v>
      </c>
    </row>
    <row r="47" spans="2:8" x14ac:dyDescent="0.3">
      <c r="B47" s="20">
        <f t="shared" si="13"/>
        <v>46357</v>
      </c>
      <c r="C47" s="22">
        <f t="shared" si="14"/>
        <v>556204</v>
      </c>
      <c r="D47" s="21">
        <f t="shared" si="15"/>
        <v>3500</v>
      </c>
      <c r="E47" s="21">
        <f t="shared" si="16"/>
        <v>3500</v>
      </c>
      <c r="F47" s="21">
        <f t="shared" si="17"/>
        <v>3500</v>
      </c>
      <c r="G47" s="22">
        <f t="shared" si="18"/>
        <v>91000</v>
      </c>
      <c r="H47" s="22">
        <f t="shared" si="19"/>
        <v>1176083</v>
      </c>
    </row>
    <row r="48" spans="2:8" x14ac:dyDescent="0.3">
      <c r="B48" s="20">
        <f t="shared" si="13"/>
        <v>46388</v>
      </c>
      <c r="C48" s="22">
        <f t="shared" si="14"/>
        <v>542224</v>
      </c>
      <c r="D48" s="21">
        <f t="shared" ref="D48:D60" si="20">D47+G18/3</f>
        <v>3750</v>
      </c>
      <c r="E48" s="21">
        <f t="shared" ref="E48:E60" si="21">E47+G18/3</f>
        <v>3750</v>
      </c>
      <c r="F48" s="21">
        <f t="shared" ref="F48:F60" si="22">F47+G18/3</f>
        <v>3750</v>
      </c>
      <c r="G48" s="22">
        <f t="shared" si="18"/>
        <v>98000</v>
      </c>
      <c r="H48" s="22">
        <f t="shared" ref="H48:H60" si="23">H47-13000</f>
        <v>1163083</v>
      </c>
    </row>
    <row r="49" spans="1:11" x14ac:dyDescent="0.3">
      <c r="B49" s="20">
        <f t="shared" si="13"/>
        <v>46419</v>
      </c>
      <c r="C49" s="22">
        <f t="shared" si="14"/>
        <v>528244</v>
      </c>
      <c r="D49" s="21">
        <f t="shared" si="20"/>
        <v>4000</v>
      </c>
      <c r="E49" s="21">
        <f t="shared" si="21"/>
        <v>4000</v>
      </c>
      <c r="F49" s="21">
        <f t="shared" si="22"/>
        <v>4000</v>
      </c>
      <c r="G49" s="22">
        <f t="shared" si="18"/>
        <v>105000</v>
      </c>
      <c r="H49" s="22">
        <f t="shared" si="23"/>
        <v>1150083</v>
      </c>
    </row>
    <row r="50" spans="1:11" x14ac:dyDescent="0.3">
      <c r="B50" s="20">
        <f t="shared" si="13"/>
        <v>46447</v>
      </c>
      <c r="C50" s="22">
        <f t="shared" si="14"/>
        <v>514264</v>
      </c>
      <c r="D50" s="21">
        <f t="shared" si="20"/>
        <v>4250</v>
      </c>
      <c r="E50" s="21">
        <f t="shared" si="21"/>
        <v>4250</v>
      </c>
      <c r="F50" s="21">
        <f t="shared" si="22"/>
        <v>4250</v>
      </c>
      <c r="G50" s="22">
        <f t="shared" si="18"/>
        <v>112000</v>
      </c>
      <c r="H50" s="22">
        <f t="shared" si="23"/>
        <v>1137083</v>
      </c>
    </row>
    <row r="51" spans="1:11" x14ac:dyDescent="0.3">
      <c r="B51" s="20">
        <f t="shared" si="13"/>
        <v>46478</v>
      </c>
      <c r="C51" s="22">
        <f t="shared" si="14"/>
        <v>500284</v>
      </c>
      <c r="D51" s="21">
        <f t="shared" si="20"/>
        <v>4500</v>
      </c>
      <c r="E51" s="21">
        <f t="shared" si="21"/>
        <v>4500</v>
      </c>
      <c r="F51" s="21">
        <f t="shared" si="22"/>
        <v>4500</v>
      </c>
      <c r="G51" s="22">
        <f t="shared" si="18"/>
        <v>119000</v>
      </c>
      <c r="H51" s="22">
        <f t="shared" si="23"/>
        <v>1124083</v>
      </c>
    </row>
    <row r="52" spans="1:11" x14ac:dyDescent="0.3">
      <c r="B52" s="20">
        <f t="shared" si="13"/>
        <v>46508</v>
      </c>
      <c r="C52" s="22">
        <f t="shared" si="14"/>
        <v>486304</v>
      </c>
      <c r="D52" s="21">
        <f t="shared" si="20"/>
        <v>4750</v>
      </c>
      <c r="E52" s="21">
        <f t="shared" si="21"/>
        <v>4750</v>
      </c>
      <c r="F52" s="21">
        <f t="shared" si="22"/>
        <v>4750</v>
      </c>
      <c r="G52" s="22">
        <f t="shared" si="18"/>
        <v>126000</v>
      </c>
      <c r="H52" s="22">
        <f t="shared" si="23"/>
        <v>1111083</v>
      </c>
    </row>
    <row r="53" spans="1:11" x14ac:dyDescent="0.3">
      <c r="B53" s="20">
        <f t="shared" si="13"/>
        <v>46539</v>
      </c>
      <c r="C53" s="22">
        <f t="shared" si="14"/>
        <v>472324</v>
      </c>
      <c r="D53" s="21">
        <f t="shared" si="20"/>
        <v>5000</v>
      </c>
      <c r="E53" s="21">
        <f t="shared" si="21"/>
        <v>5000</v>
      </c>
      <c r="F53" s="21">
        <f t="shared" si="22"/>
        <v>5000</v>
      </c>
      <c r="G53" s="22">
        <f t="shared" si="18"/>
        <v>133000</v>
      </c>
      <c r="H53" s="22">
        <f t="shared" si="23"/>
        <v>1098083</v>
      </c>
    </row>
    <row r="54" spans="1:11" x14ac:dyDescent="0.3">
      <c r="B54" s="20">
        <f t="shared" si="13"/>
        <v>46569</v>
      </c>
      <c r="C54" s="22">
        <f t="shared" si="14"/>
        <v>458344</v>
      </c>
      <c r="D54" s="21">
        <f t="shared" si="20"/>
        <v>5250</v>
      </c>
      <c r="E54" s="21">
        <f t="shared" si="21"/>
        <v>5250</v>
      </c>
      <c r="F54" s="21">
        <f t="shared" si="22"/>
        <v>5250</v>
      </c>
      <c r="G54" s="22">
        <f t="shared" si="18"/>
        <v>140000</v>
      </c>
      <c r="H54" s="22">
        <f t="shared" si="23"/>
        <v>1085083</v>
      </c>
    </row>
    <row r="55" spans="1:11" x14ac:dyDescent="0.3">
      <c r="B55" s="20">
        <f t="shared" si="13"/>
        <v>46600</v>
      </c>
      <c r="C55" s="22">
        <f t="shared" si="14"/>
        <v>444364</v>
      </c>
      <c r="D55" s="21">
        <f t="shared" si="20"/>
        <v>5500</v>
      </c>
      <c r="E55" s="21">
        <f t="shared" si="21"/>
        <v>5500</v>
      </c>
      <c r="F55" s="21">
        <f t="shared" si="22"/>
        <v>5500</v>
      </c>
      <c r="G55" s="22">
        <f t="shared" si="18"/>
        <v>147000</v>
      </c>
      <c r="H55" s="22">
        <f t="shared" si="23"/>
        <v>1072083</v>
      </c>
    </row>
    <row r="56" spans="1:11" x14ac:dyDescent="0.3">
      <c r="A56" s="1" t="s">
        <v>102</v>
      </c>
      <c r="B56" s="20">
        <f t="shared" si="13"/>
        <v>46631</v>
      </c>
      <c r="C56" s="22">
        <f t="shared" si="14"/>
        <v>430384</v>
      </c>
      <c r="D56" s="21">
        <f t="shared" si="20"/>
        <v>5750</v>
      </c>
      <c r="E56" s="21">
        <f t="shared" si="21"/>
        <v>5750</v>
      </c>
      <c r="F56" s="21">
        <f t="shared" si="22"/>
        <v>5750</v>
      </c>
      <c r="G56" s="22">
        <f t="shared" si="18"/>
        <v>154000</v>
      </c>
      <c r="H56" s="22">
        <f t="shared" si="23"/>
        <v>1059083</v>
      </c>
    </row>
    <row r="57" spans="1:11" x14ac:dyDescent="0.3">
      <c r="B57" s="20">
        <f t="shared" si="13"/>
        <v>46661</v>
      </c>
      <c r="C57" s="22">
        <f t="shared" si="14"/>
        <v>416404</v>
      </c>
      <c r="D57" s="21">
        <f t="shared" si="20"/>
        <v>6000</v>
      </c>
      <c r="E57" s="21">
        <f t="shared" si="21"/>
        <v>6000</v>
      </c>
      <c r="F57" s="21">
        <f t="shared" si="22"/>
        <v>6000</v>
      </c>
      <c r="G57" s="22">
        <f t="shared" si="18"/>
        <v>161000</v>
      </c>
      <c r="H57" s="22">
        <f t="shared" si="23"/>
        <v>1046083</v>
      </c>
    </row>
    <row r="58" spans="1:11" x14ac:dyDescent="0.3">
      <c r="B58" s="20">
        <f t="shared" si="13"/>
        <v>46692</v>
      </c>
      <c r="C58" s="22">
        <f t="shared" si="14"/>
        <v>402424</v>
      </c>
      <c r="D58" s="21">
        <f t="shared" si="20"/>
        <v>6250</v>
      </c>
      <c r="E58" s="21">
        <f t="shared" si="21"/>
        <v>6250</v>
      </c>
      <c r="F58" s="21">
        <f t="shared" si="22"/>
        <v>6250</v>
      </c>
      <c r="G58" s="22">
        <f t="shared" si="18"/>
        <v>168000</v>
      </c>
      <c r="H58" s="22">
        <f t="shared" si="23"/>
        <v>1033083</v>
      </c>
    </row>
    <row r="59" spans="1:11" x14ac:dyDescent="0.3">
      <c r="B59" s="20">
        <f t="shared" si="13"/>
        <v>46722</v>
      </c>
      <c r="C59" s="22">
        <f t="shared" si="14"/>
        <v>388444</v>
      </c>
      <c r="D59" s="21">
        <f t="shared" si="20"/>
        <v>6500</v>
      </c>
      <c r="E59" s="21">
        <f t="shared" si="21"/>
        <v>6500</v>
      </c>
      <c r="F59" s="21">
        <f t="shared" si="22"/>
        <v>6500</v>
      </c>
      <c r="G59" s="22">
        <f t="shared" si="18"/>
        <v>175000</v>
      </c>
      <c r="H59" s="22">
        <f t="shared" si="23"/>
        <v>1020083</v>
      </c>
    </row>
    <row r="60" spans="1:11" x14ac:dyDescent="0.3">
      <c r="B60" s="20">
        <f t="shared" si="13"/>
        <v>46753</v>
      </c>
      <c r="C60" s="22">
        <f t="shared" si="14"/>
        <v>374464</v>
      </c>
      <c r="D60" s="21">
        <f t="shared" si="20"/>
        <v>6750</v>
      </c>
      <c r="E60" s="21">
        <f t="shared" si="21"/>
        <v>6750</v>
      </c>
      <c r="F60" s="21">
        <f t="shared" si="22"/>
        <v>6750</v>
      </c>
      <c r="G60" s="22">
        <f t="shared" si="18"/>
        <v>182000</v>
      </c>
      <c r="H60" s="22">
        <f t="shared" si="23"/>
        <v>1007083</v>
      </c>
    </row>
    <row r="61" spans="1:11" customFormat="1" x14ac:dyDescent="0.3"/>
    <row r="62" spans="1:11" x14ac:dyDescent="0.3">
      <c r="B62" s="34" t="s">
        <v>85</v>
      </c>
      <c r="C62" s="34"/>
      <c r="D62" s="34"/>
      <c r="E62" s="34"/>
      <c r="F62" s="34"/>
      <c r="G62" s="34"/>
      <c r="H62" s="34"/>
      <c r="I62"/>
    </row>
    <row r="63" spans="1:11" x14ac:dyDescent="0.3">
      <c r="B63" s="26" t="s">
        <v>45</v>
      </c>
      <c r="C63" s="26" t="s">
        <v>86</v>
      </c>
      <c r="D63" s="26" t="str">
        <f>I3</f>
        <v>Total Monthly Expenses (After Deductibles)</v>
      </c>
      <c r="E63" s="26" t="s">
        <v>88</v>
      </c>
      <c r="F63" s="26" t="s">
        <v>87</v>
      </c>
      <c r="G63" s="26" t="s">
        <v>90</v>
      </c>
      <c r="H63" s="26" t="str">
        <f>C3</f>
        <v>Income_AED</v>
      </c>
      <c r="I63" s="26" t="s">
        <v>110</v>
      </c>
      <c r="J63" s="26" t="s">
        <v>89</v>
      </c>
      <c r="K63" s="26" t="s">
        <v>101</v>
      </c>
    </row>
    <row r="64" spans="1:11" x14ac:dyDescent="0.3">
      <c r="B64" s="20">
        <f>B35</f>
        <v>45992</v>
      </c>
      <c r="C64" s="21">
        <v>110400</v>
      </c>
      <c r="D64" s="21">
        <f>I5</f>
        <v>15895.922746781114</v>
      </c>
      <c r="E64" s="21">
        <v>0</v>
      </c>
      <c r="F64" s="21">
        <v>0</v>
      </c>
      <c r="G64" s="21">
        <f>D64-E64</f>
        <v>15895.922746781114</v>
      </c>
      <c r="H64" s="21">
        <f>C5</f>
        <v>21100</v>
      </c>
      <c r="I64" s="21">
        <v>0</v>
      </c>
      <c r="J64" s="21">
        <f>C64+H64-G64-F64+G5-I64</f>
        <v>116354.07725321889</v>
      </c>
      <c r="K64" s="21"/>
    </row>
    <row r="65" spans="2:11" x14ac:dyDescent="0.3">
      <c r="B65" s="20">
        <f>B36</f>
        <v>46023</v>
      </c>
      <c r="C65" s="21">
        <f t="shared" ref="C65:C89" si="24">J64</f>
        <v>116354.07725321889</v>
      </c>
      <c r="D65" s="21">
        <f>I6</f>
        <v>12895.922746781114</v>
      </c>
      <c r="E65" s="21">
        <v>0</v>
      </c>
      <c r="F65" s="21">
        <v>0</v>
      </c>
      <c r="G65" s="21">
        <f t="shared" ref="G64:G76" si="25">D65-E65</f>
        <v>12895.922746781114</v>
      </c>
      <c r="H65" s="21">
        <f>C6</f>
        <v>21100</v>
      </c>
      <c r="I65" s="21">
        <v>0</v>
      </c>
      <c r="J65" s="21">
        <f>C65+H65-G65-F65+G6-I65</f>
        <v>125308.15450643777</v>
      </c>
      <c r="K65" s="21">
        <f t="shared" ref="K65:K89" si="26">J65-J64</f>
        <v>8954.0772532188857</v>
      </c>
    </row>
    <row r="66" spans="2:11" x14ac:dyDescent="0.3">
      <c r="B66" s="20">
        <f>B37</f>
        <v>46054</v>
      </c>
      <c r="C66" s="21">
        <f t="shared" si="24"/>
        <v>125308.15450643777</v>
      </c>
      <c r="D66" s="21">
        <f>I7</f>
        <v>12895.922746781114</v>
      </c>
      <c r="E66" s="21">
        <v>0</v>
      </c>
      <c r="F66" s="21">
        <v>0</v>
      </c>
      <c r="G66" s="21">
        <f t="shared" si="25"/>
        <v>12895.922746781114</v>
      </c>
      <c r="H66" s="21">
        <f>C7</f>
        <v>21100</v>
      </c>
      <c r="I66" s="21">
        <v>0</v>
      </c>
      <c r="J66" s="21">
        <f>C66+H66-G66-F66+G7-I66</f>
        <v>134262.23175965666</v>
      </c>
      <c r="K66" s="21">
        <f t="shared" si="26"/>
        <v>8954.0772532188857</v>
      </c>
    </row>
    <row r="67" spans="2:11" x14ac:dyDescent="0.3">
      <c r="B67" s="20">
        <f>B38</f>
        <v>46082</v>
      </c>
      <c r="C67" s="21">
        <f t="shared" si="24"/>
        <v>134262.23175965666</v>
      </c>
      <c r="D67" s="21">
        <f>I8</f>
        <v>12895.922746781114</v>
      </c>
      <c r="E67" s="21">
        <v>0</v>
      </c>
      <c r="F67" s="21">
        <v>0</v>
      </c>
      <c r="G67" s="21">
        <f t="shared" si="25"/>
        <v>12895.922746781114</v>
      </c>
      <c r="H67" s="21">
        <f>C8</f>
        <v>21100</v>
      </c>
      <c r="I67" s="21">
        <v>0</v>
      </c>
      <c r="J67" s="21">
        <f>C67+H67-G67-F67+G8-I67</f>
        <v>143216.30901287554</v>
      </c>
      <c r="K67" s="21">
        <f t="shared" si="26"/>
        <v>8954.0772532188857</v>
      </c>
    </row>
    <row r="68" spans="2:11" x14ac:dyDescent="0.3">
      <c r="B68" s="20">
        <f>B39</f>
        <v>46113</v>
      </c>
      <c r="C68" s="21">
        <f t="shared" si="24"/>
        <v>143216.30901287554</v>
      </c>
      <c r="D68" s="21">
        <f>I9</f>
        <v>12895.922746781114</v>
      </c>
      <c r="E68" s="21">
        <v>0</v>
      </c>
      <c r="F68" s="21">
        <v>0</v>
      </c>
      <c r="G68" s="21">
        <f t="shared" si="25"/>
        <v>12895.922746781114</v>
      </c>
      <c r="H68" s="21">
        <f>C9</f>
        <v>21100</v>
      </c>
      <c r="I68" s="21">
        <v>0</v>
      </c>
      <c r="J68" s="21">
        <f>C68+H68-G68-F68+G9-I68</f>
        <v>152170.38626609443</v>
      </c>
      <c r="K68" s="21">
        <f t="shared" si="26"/>
        <v>8954.0772532188857</v>
      </c>
    </row>
    <row r="69" spans="2:11" x14ac:dyDescent="0.3">
      <c r="B69" s="20">
        <f>B40</f>
        <v>46143</v>
      </c>
      <c r="C69" s="21">
        <f t="shared" si="24"/>
        <v>152170.38626609443</v>
      </c>
      <c r="D69" s="21">
        <f>I10</f>
        <v>12895.922746781114</v>
      </c>
      <c r="E69" s="21">
        <v>0</v>
      </c>
      <c r="F69" s="21">
        <v>0</v>
      </c>
      <c r="G69" s="21">
        <f t="shared" si="25"/>
        <v>12895.922746781114</v>
      </c>
      <c r="H69" s="21">
        <f>C10</f>
        <v>21100</v>
      </c>
      <c r="I69" s="21">
        <v>0</v>
      </c>
      <c r="J69" s="21">
        <f>C69+H69-G69-F69+G10-I69</f>
        <v>161124.46351931331</v>
      </c>
      <c r="K69" s="21">
        <f t="shared" si="26"/>
        <v>8954.0772532188857</v>
      </c>
    </row>
    <row r="70" spans="2:11" x14ac:dyDescent="0.3">
      <c r="B70" s="20">
        <f>B41</f>
        <v>46174</v>
      </c>
      <c r="C70" s="21">
        <f t="shared" si="24"/>
        <v>161124.46351931331</v>
      </c>
      <c r="D70" s="21">
        <f>I11</f>
        <v>12895.922746781114</v>
      </c>
      <c r="E70" s="21">
        <v>0</v>
      </c>
      <c r="F70" s="21">
        <v>0</v>
      </c>
      <c r="G70" s="21">
        <f t="shared" si="25"/>
        <v>12895.922746781114</v>
      </c>
      <c r="H70" s="21">
        <f>C11</f>
        <v>21100</v>
      </c>
      <c r="I70" s="21">
        <v>0</v>
      </c>
      <c r="J70" s="21">
        <f>C70+H70-G70-F70+G11-I70</f>
        <v>170078.5407725322</v>
      </c>
      <c r="K70" s="21">
        <f t="shared" si="26"/>
        <v>8954.0772532188857</v>
      </c>
    </row>
    <row r="71" spans="2:11" x14ac:dyDescent="0.3">
      <c r="B71" s="20">
        <f>B42</f>
        <v>46204</v>
      </c>
      <c r="C71" s="21">
        <f t="shared" si="24"/>
        <v>170078.5407725322</v>
      </c>
      <c r="D71" s="21">
        <f>I12</f>
        <v>12895.922746781114</v>
      </c>
      <c r="E71" s="21">
        <v>0</v>
      </c>
      <c r="F71" s="21">
        <v>0</v>
      </c>
      <c r="G71" s="21">
        <f t="shared" si="25"/>
        <v>12895.922746781114</v>
      </c>
      <c r="H71" s="21">
        <f>C12</f>
        <v>21100</v>
      </c>
      <c r="I71" s="21">
        <v>0</v>
      </c>
      <c r="J71" s="21">
        <f>C71+H71-G71-F71+G12-I71</f>
        <v>179032.61802575109</v>
      </c>
      <c r="K71" s="21">
        <f t="shared" si="26"/>
        <v>8954.0772532188857</v>
      </c>
    </row>
    <row r="72" spans="2:11" s="4" customFormat="1" ht="15.6" x14ac:dyDescent="0.3">
      <c r="B72" s="30">
        <f>B43</f>
        <v>46235</v>
      </c>
      <c r="C72" s="25">
        <f t="shared" si="24"/>
        <v>179032.61802575109</v>
      </c>
      <c r="D72" s="25">
        <f>I13</f>
        <v>19595.922746781114</v>
      </c>
      <c r="E72" s="25">
        <f>Budget!$C$4</f>
        <v>7500</v>
      </c>
      <c r="F72" s="25">
        <f>105000/4</f>
        <v>26250</v>
      </c>
      <c r="G72" s="25">
        <f t="shared" si="25"/>
        <v>12095.922746781114</v>
      </c>
      <c r="H72" s="25">
        <f>C13</f>
        <v>21100</v>
      </c>
      <c r="I72" s="25">
        <v>0</v>
      </c>
      <c r="J72" s="49">
        <f>C72+H72-G72-F72+G13-I72</f>
        <v>162536.69527896997</v>
      </c>
      <c r="K72" s="25">
        <f t="shared" si="26"/>
        <v>-16495.922746781114</v>
      </c>
    </row>
    <row r="73" spans="2:11" x14ac:dyDescent="0.3">
      <c r="B73" s="20">
        <f>B44</f>
        <v>46266</v>
      </c>
      <c r="C73" s="21">
        <f t="shared" si="24"/>
        <v>162536.69527896997</v>
      </c>
      <c r="D73" s="21">
        <f>I14</f>
        <v>19595.922746781114</v>
      </c>
      <c r="E73" s="21">
        <f>Budget!$C$4</f>
        <v>7500</v>
      </c>
      <c r="F73" s="21">
        <v>0</v>
      </c>
      <c r="G73" s="21">
        <f t="shared" si="25"/>
        <v>12095.922746781114</v>
      </c>
      <c r="H73" s="21">
        <f>C14</f>
        <v>21100</v>
      </c>
      <c r="I73" s="21">
        <v>0</v>
      </c>
      <c r="J73" s="21">
        <f>C73+H73-G73-F73+G14-I73</f>
        <v>172290.77253218886</v>
      </c>
      <c r="K73" s="21">
        <f t="shared" si="26"/>
        <v>9754.0772532188857</v>
      </c>
    </row>
    <row r="74" spans="2:11" x14ac:dyDescent="0.3">
      <c r="B74" s="20">
        <f>B45</f>
        <v>46296</v>
      </c>
      <c r="C74" s="21">
        <f t="shared" si="24"/>
        <v>172290.77253218886</v>
      </c>
      <c r="D74" s="21">
        <f>I15</f>
        <v>19595.922746781114</v>
      </c>
      <c r="E74" s="21">
        <f>Budget!$C$4</f>
        <v>7500</v>
      </c>
      <c r="F74" s="21">
        <v>0</v>
      </c>
      <c r="G74" s="21">
        <f t="shared" si="25"/>
        <v>12095.922746781114</v>
      </c>
      <c r="H74" s="21">
        <f>C15</f>
        <v>21100</v>
      </c>
      <c r="I74" s="21">
        <v>0</v>
      </c>
      <c r="J74" s="21">
        <f>C74+H74-G74-F74+G15-I74</f>
        <v>182044.84978540774</v>
      </c>
      <c r="K74" s="21">
        <f t="shared" si="26"/>
        <v>9754.0772532188857</v>
      </c>
    </row>
    <row r="75" spans="2:11" x14ac:dyDescent="0.3">
      <c r="B75" s="20">
        <f>B46</f>
        <v>46327</v>
      </c>
      <c r="C75" s="21">
        <f t="shared" si="24"/>
        <v>182044.84978540774</v>
      </c>
      <c r="D75" s="21">
        <f>I16</f>
        <v>19595.922746781114</v>
      </c>
      <c r="E75" s="21">
        <f>Budget!$C$4</f>
        <v>7500</v>
      </c>
      <c r="F75" s="21">
        <f>105000/4</f>
        <v>26250</v>
      </c>
      <c r="G75" s="21">
        <f t="shared" si="25"/>
        <v>12095.922746781114</v>
      </c>
      <c r="H75" s="21">
        <f>C16</f>
        <v>21100</v>
      </c>
      <c r="I75" s="21">
        <v>0</v>
      </c>
      <c r="J75" s="21">
        <f>C75+H75-G75-F75+G16-I75</f>
        <v>165548.92703862663</v>
      </c>
      <c r="K75" s="21">
        <f t="shared" si="26"/>
        <v>-16495.922746781114</v>
      </c>
    </row>
    <row r="76" spans="2:11" x14ac:dyDescent="0.3">
      <c r="B76" s="20">
        <f>B47</f>
        <v>46357</v>
      </c>
      <c r="C76" s="21">
        <f t="shared" si="24"/>
        <v>165548.92703862663</v>
      </c>
      <c r="D76" s="21">
        <f>I17</f>
        <v>19595.922746781114</v>
      </c>
      <c r="E76" s="21">
        <f>Budget!$C$4</f>
        <v>7500</v>
      </c>
      <c r="F76" s="21">
        <v>0</v>
      </c>
      <c r="G76" s="21">
        <f t="shared" si="25"/>
        <v>12095.922746781114</v>
      </c>
      <c r="H76" s="21">
        <f>C17</f>
        <v>21100</v>
      </c>
      <c r="I76" s="21">
        <v>0</v>
      </c>
      <c r="J76" s="21">
        <f>C76+H76-G76-F76+G17-I76</f>
        <v>175303.00429184551</v>
      </c>
      <c r="K76" s="21">
        <f t="shared" si="26"/>
        <v>9754.0772532188857</v>
      </c>
    </row>
    <row r="77" spans="2:11" x14ac:dyDescent="0.3">
      <c r="B77" s="20">
        <f>B48</f>
        <v>46388</v>
      </c>
      <c r="C77" s="21">
        <f t="shared" si="24"/>
        <v>175303.00429184551</v>
      </c>
      <c r="D77" s="21">
        <f>I18</f>
        <v>19595.922746781114</v>
      </c>
      <c r="E77" s="21">
        <f>Budget!$C$4</f>
        <v>7500</v>
      </c>
      <c r="F77" s="21">
        <v>0</v>
      </c>
      <c r="G77" s="21">
        <f t="shared" ref="G77:G89" si="27">D77-E77</f>
        <v>12095.922746781114</v>
      </c>
      <c r="H77" s="21">
        <f t="shared" ref="H77:H89" si="28">C18</f>
        <v>21100</v>
      </c>
      <c r="I77" s="21">
        <v>0</v>
      </c>
      <c r="J77" s="21">
        <f>C77+H77-G77-F77+G18-I77</f>
        <v>185057.0815450644</v>
      </c>
      <c r="K77" s="21">
        <f t="shared" si="26"/>
        <v>9754.0772532188857</v>
      </c>
    </row>
    <row r="78" spans="2:11" s="52" customFormat="1" x14ac:dyDescent="0.3">
      <c r="B78" s="50">
        <f>B49</f>
        <v>46419</v>
      </c>
      <c r="C78" s="51">
        <f t="shared" si="24"/>
        <v>185057.0815450644</v>
      </c>
      <c r="D78" s="51">
        <f>I19</f>
        <v>19595.922746781114</v>
      </c>
      <c r="E78" s="51">
        <f>Budget!$C$4</f>
        <v>7500</v>
      </c>
      <c r="F78" s="51">
        <f>105000/4</f>
        <v>26250</v>
      </c>
      <c r="G78" s="51">
        <f t="shared" si="27"/>
        <v>12095.922746781114</v>
      </c>
      <c r="H78" s="51">
        <f t="shared" si="28"/>
        <v>21100</v>
      </c>
      <c r="I78" s="51">
        <v>0</v>
      </c>
      <c r="J78" s="51">
        <f>C78+H78-G78-F78+G19-I78</f>
        <v>168561.15879828329</v>
      </c>
      <c r="K78" s="51">
        <f t="shared" si="26"/>
        <v>-16495.922746781114</v>
      </c>
    </row>
    <row r="79" spans="2:11" x14ac:dyDescent="0.3">
      <c r="B79" s="20">
        <f>B50</f>
        <v>46447</v>
      </c>
      <c r="C79" s="21">
        <f t="shared" si="24"/>
        <v>168561.15879828329</v>
      </c>
      <c r="D79" s="21">
        <f>I20</f>
        <v>19595.922746781114</v>
      </c>
      <c r="E79" s="25">
        <f>Budget!$C$4</f>
        <v>7500</v>
      </c>
      <c r="F79" s="21">
        <v>0</v>
      </c>
      <c r="G79" s="21">
        <f t="shared" si="27"/>
        <v>12095.922746781114</v>
      </c>
      <c r="H79" s="21">
        <f t="shared" si="28"/>
        <v>21100</v>
      </c>
      <c r="I79" s="21">
        <v>0</v>
      </c>
      <c r="J79" s="21">
        <f>C79+H79-G79-F79+G20-I79</f>
        <v>178315.23605150217</v>
      </c>
      <c r="K79" s="21">
        <f t="shared" si="26"/>
        <v>9754.0772532188857</v>
      </c>
    </row>
    <row r="80" spans="2:11" x14ac:dyDescent="0.3">
      <c r="B80" s="20">
        <f>B51</f>
        <v>46478</v>
      </c>
      <c r="C80" s="21">
        <f t="shared" si="24"/>
        <v>178315.23605150217</v>
      </c>
      <c r="D80" s="21">
        <f>I21</f>
        <v>19595.922746781114</v>
      </c>
      <c r="E80" s="21">
        <f>Budget!$C$4</f>
        <v>7500</v>
      </c>
      <c r="F80" s="21">
        <v>0</v>
      </c>
      <c r="G80" s="21">
        <f t="shared" si="27"/>
        <v>12095.922746781114</v>
      </c>
      <c r="H80" s="21">
        <f t="shared" si="28"/>
        <v>21100</v>
      </c>
      <c r="I80" s="21">
        <v>0</v>
      </c>
      <c r="J80" s="21">
        <f>C80+H80-G80-F80+G21-I80</f>
        <v>188069.31330472106</v>
      </c>
      <c r="K80" s="21">
        <f t="shared" si="26"/>
        <v>9754.0772532188857</v>
      </c>
    </row>
    <row r="81" spans="2:11" x14ac:dyDescent="0.3">
      <c r="B81" s="20">
        <f>B52</f>
        <v>46508</v>
      </c>
      <c r="C81" s="21">
        <f t="shared" si="24"/>
        <v>188069.31330472106</v>
      </c>
      <c r="D81" s="21">
        <f>I22</f>
        <v>19595.922746781114</v>
      </c>
      <c r="E81" s="21">
        <f>Budget!$C$4</f>
        <v>7500</v>
      </c>
      <c r="F81" s="21">
        <f>105000/4</f>
        <v>26250</v>
      </c>
      <c r="G81" s="21">
        <f t="shared" si="27"/>
        <v>12095.922746781114</v>
      </c>
      <c r="H81" s="21">
        <f t="shared" si="28"/>
        <v>21100</v>
      </c>
      <c r="I81" s="21">
        <v>0</v>
      </c>
      <c r="J81" s="21">
        <f>C81+H81-G81-F81+G22-I81</f>
        <v>171573.39055793994</v>
      </c>
      <c r="K81" s="21">
        <f t="shared" si="26"/>
        <v>-16495.922746781114</v>
      </c>
    </row>
    <row r="82" spans="2:11" x14ac:dyDescent="0.3">
      <c r="B82" s="20">
        <f>B53</f>
        <v>46539</v>
      </c>
      <c r="C82" s="21">
        <f t="shared" si="24"/>
        <v>171573.39055793994</v>
      </c>
      <c r="D82" s="21">
        <f>I23</f>
        <v>19595.922746781114</v>
      </c>
      <c r="E82" s="21">
        <f>Budget!$C$4</f>
        <v>7500</v>
      </c>
      <c r="F82" s="21">
        <v>0</v>
      </c>
      <c r="G82" s="21">
        <f t="shared" si="27"/>
        <v>12095.922746781114</v>
      </c>
      <c r="H82" s="21">
        <f t="shared" si="28"/>
        <v>21100</v>
      </c>
      <c r="I82" s="21">
        <v>0</v>
      </c>
      <c r="J82" s="21">
        <f>C82+H82-G82-F82+G23-I82</f>
        <v>181327.46781115883</v>
      </c>
      <c r="K82" s="21">
        <f t="shared" si="26"/>
        <v>9754.0772532188857</v>
      </c>
    </row>
    <row r="83" spans="2:11" x14ac:dyDescent="0.3">
      <c r="B83" s="20">
        <f>B54</f>
        <v>46569</v>
      </c>
      <c r="C83" s="21">
        <f t="shared" si="24"/>
        <v>181327.46781115883</v>
      </c>
      <c r="D83" s="21">
        <f>I24</f>
        <v>19595.922746781114</v>
      </c>
      <c r="E83" s="21">
        <f>Budget!$C$4</f>
        <v>7500</v>
      </c>
      <c r="F83" s="21">
        <v>0</v>
      </c>
      <c r="G83" s="21">
        <f t="shared" si="27"/>
        <v>12095.922746781114</v>
      </c>
      <c r="H83" s="21">
        <f t="shared" si="28"/>
        <v>21100</v>
      </c>
      <c r="I83" s="21">
        <v>0</v>
      </c>
      <c r="J83" s="21">
        <f>C83+H83-G83-F83+G24-I83</f>
        <v>191081.54506437771</v>
      </c>
      <c r="K83" s="21">
        <f t="shared" si="26"/>
        <v>9754.0772532188857</v>
      </c>
    </row>
    <row r="84" spans="2:11" x14ac:dyDescent="0.3">
      <c r="B84" s="20">
        <f>B55</f>
        <v>46600</v>
      </c>
      <c r="C84" s="21">
        <f t="shared" si="24"/>
        <v>191081.54506437771</v>
      </c>
      <c r="D84" s="21">
        <f>I25</f>
        <v>19595.922746781114</v>
      </c>
      <c r="E84" s="21">
        <f>Budget!$C$4</f>
        <v>7500</v>
      </c>
      <c r="F84" s="21">
        <f>105000/4</f>
        <v>26250</v>
      </c>
      <c r="G84" s="21">
        <f t="shared" si="27"/>
        <v>12095.922746781114</v>
      </c>
      <c r="H84" s="21">
        <f t="shared" si="28"/>
        <v>21100</v>
      </c>
      <c r="I84" s="21">
        <v>0</v>
      </c>
      <c r="J84" s="21">
        <f>C84+H84-G84-F84+G25-I84</f>
        <v>174585.6223175966</v>
      </c>
      <c r="K84" s="21">
        <f t="shared" si="26"/>
        <v>-16495.922746781114</v>
      </c>
    </row>
    <row r="85" spans="2:11" x14ac:dyDescent="0.3">
      <c r="B85" s="20">
        <f>B56</f>
        <v>46631</v>
      </c>
      <c r="C85" s="21">
        <f t="shared" si="24"/>
        <v>174585.6223175966</v>
      </c>
      <c r="D85" s="21">
        <f>I26</f>
        <v>19595.922746781114</v>
      </c>
      <c r="E85" s="21">
        <f>Budget!$C$4</f>
        <v>7500</v>
      </c>
      <c r="F85" s="21">
        <v>0</v>
      </c>
      <c r="G85" s="21">
        <f t="shared" si="27"/>
        <v>12095.922746781114</v>
      </c>
      <c r="H85" s="21">
        <f t="shared" si="28"/>
        <v>21100</v>
      </c>
      <c r="I85" s="21">
        <v>0</v>
      </c>
      <c r="J85" s="21">
        <f>C85+H85-G85-F85+G26-I85</f>
        <v>184339.69957081549</v>
      </c>
      <c r="K85" s="21">
        <f t="shared" si="26"/>
        <v>9754.0772532188857</v>
      </c>
    </row>
    <row r="86" spans="2:11" x14ac:dyDescent="0.3">
      <c r="B86" s="20">
        <f>B57</f>
        <v>46661</v>
      </c>
      <c r="C86" s="21">
        <f t="shared" si="24"/>
        <v>184339.69957081549</v>
      </c>
      <c r="D86" s="21">
        <f>I27</f>
        <v>19595.922746781114</v>
      </c>
      <c r="E86" s="21">
        <f>Budget!$C$4</f>
        <v>7500</v>
      </c>
      <c r="F86" s="21">
        <v>0</v>
      </c>
      <c r="G86" s="21">
        <f t="shared" si="27"/>
        <v>12095.922746781114</v>
      </c>
      <c r="H86" s="21">
        <f t="shared" si="28"/>
        <v>21100</v>
      </c>
      <c r="I86" s="21">
        <v>0</v>
      </c>
      <c r="J86" s="21">
        <f>C86+H86-G86-F86+G27-I86</f>
        <v>194093.77682403437</v>
      </c>
      <c r="K86" s="21">
        <f t="shared" si="26"/>
        <v>9754.0772532188857</v>
      </c>
    </row>
    <row r="87" spans="2:11" x14ac:dyDescent="0.3">
      <c r="B87" s="20">
        <f>B58</f>
        <v>46692</v>
      </c>
      <c r="C87" s="21">
        <f t="shared" si="24"/>
        <v>194093.77682403437</v>
      </c>
      <c r="D87" s="21">
        <f>I28</f>
        <v>19595.922746781114</v>
      </c>
      <c r="E87" s="21">
        <f>Budget!$C$4</f>
        <v>7500</v>
      </c>
      <c r="F87" s="21">
        <f>105000/4</f>
        <v>26250</v>
      </c>
      <c r="G87" s="21">
        <f t="shared" si="27"/>
        <v>12095.922746781114</v>
      </c>
      <c r="H87" s="21">
        <f t="shared" si="28"/>
        <v>21100</v>
      </c>
      <c r="I87" s="21">
        <v>0</v>
      </c>
      <c r="J87" s="21">
        <f>C87+H87-G87-F87+G28-I87</f>
        <v>177597.85407725326</v>
      </c>
      <c r="K87" s="21">
        <f t="shared" si="26"/>
        <v>-16495.922746781114</v>
      </c>
    </row>
    <row r="88" spans="2:11" x14ac:dyDescent="0.3">
      <c r="B88" s="20">
        <f>B59</f>
        <v>46722</v>
      </c>
      <c r="C88" s="21">
        <f t="shared" si="24"/>
        <v>177597.85407725326</v>
      </c>
      <c r="D88" s="21">
        <f>I29</f>
        <v>19595.922746781114</v>
      </c>
      <c r="E88" s="21">
        <f>Budget!$C$4</f>
        <v>7500</v>
      </c>
      <c r="F88" s="21">
        <v>0</v>
      </c>
      <c r="G88" s="21">
        <f t="shared" si="27"/>
        <v>12095.922746781114</v>
      </c>
      <c r="H88" s="21">
        <f t="shared" si="28"/>
        <v>21100</v>
      </c>
      <c r="I88" s="21">
        <v>0</v>
      </c>
      <c r="J88" s="21">
        <f>C88+H88-G88-F88+G29-I88</f>
        <v>187351.93133047214</v>
      </c>
      <c r="K88" s="21">
        <f t="shared" si="26"/>
        <v>9754.0772532188857</v>
      </c>
    </row>
    <row r="89" spans="2:11" x14ac:dyDescent="0.3">
      <c r="B89" s="20">
        <f>B60</f>
        <v>46753</v>
      </c>
      <c r="C89" s="21">
        <f t="shared" si="24"/>
        <v>187351.93133047214</v>
      </c>
      <c r="D89" s="21">
        <f>I30</f>
        <v>19595.922746781114</v>
      </c>
      <c r="E89" s="21">
        <f>Budget!$C$4</f>
        <v>7500</v>
      </c>
      <c r="F89" s="21">
        <v>0</v>
      </c>
      <c r="G89" s="21">
        <f t="shared" si="27"/>
        <v>12095.922746781114</v>
      </c>
      <c r="H89" s="21">
        <f t="shared" si="28"/>
        <v>21100</v>
      </c>
      <c r="I89" s="21">
        <v>0</v>
      </c>
      <c r="J89" s="21">
        <f>C89+H89-G89-F89+G30-I89</f>
        <v>197106.00858369103</v>
      </c>
      <c r="K89" s="21">
        <f t="shared" si="26"/>
        <v>9754.0772532188857</v>
      </c>
    </row>
    <row r="90" spans="2:11" x14ac:dyDescent="0.3">
      <c r="B90" s="7"/>
    </row>
    <row r="91" spans="2:11" x14ac:dyDescent="0.3">
      <c r="B91"/>
      <c r="C91"/>
      <c r="D91"/>
      <c r="E91"/>
      <c r="F91"/>
      <c r="G91"/>
    </row>
    <row r="92" spans="2:11" x14ac:dyDescent="0.3">
      <c r="B92"/>
      <c r="C92"/>
      <c r="D92"/>
      <c r="E92"/>
      <c r="F92"/>
      <c r="G92"/>
    </row>
    <row r="93" spans="2:11" x14ac:dyDescent="0.3">
      <c r="B93"/>
      <c r="C93"/>
      <c r="D93"/>
      <c r="E93"/>
      <c r="F93"/>
      <c r="G93"/>
    </row>
    <row r="94" spans="2:11" x14ac:dyDescent="0.3">
      <c r="B94"/>
      <c r="C94"/>
      <c r="D94"/>
      <c r="E94"/>
      <c r="F94"/>
      <c r="G94"/>
    </row>
    <row r="95" spans="2:11" x14ac:dyDescent="0.3">
      <c r="B95"/>
      <c r="C95"/>
      <c r="D95"/>
      <c r="E95"/>
      <c r="F95"/>
      <c r="G95"/>
    </row>
    <row r="96" spans="2:11" x14ac:dyDescent="0.3">
      <c r="B96"/>
      <c r="C96"/>
      <c r="D96"/>
      <c r="E96"/>
      <c r="F96"/>
      <c r="G96"/>
    </row>
    <row r="97" spans="2:7" x14ac:dyDescent="0.3">
      <c r="B97"/>
      <c r="C97"/>
      <c r="D97"/>
      <c r="E97"/>
      <c r="F97"/>
      <c r="G97"/>
    </row>
    <row r="98" spans="2:7" x14ac:dyDescent="0.3">
      <c r="B98"/>
      <c r="C98"/>
      <c r="D98"/>
      <c r="E98"/>
      <c r="F98"/>
      <c r="G98"/>
    </row>
    <row r="99" spans="2:7" x14ac:dyDescent="0.3">
      <c r="B99"/>
      <c r="C99"/>
      <c r="D99"/>
      <c r="E99"/>
      <c r="F99"/>
      <c r="G99"/>
    </row>
    <row r="100" spans="2:7" x14ac:dyDescent="0.3">
      <c r="B100"/>
      <c r="C100"/>
      <c r="D100"/>
      <c r="E100"/>
      <c r="F100"/>
      <c r="G100"/>
    </row>
    <row r="101" spans="2:7" x14ac:dyDescent="0.3">
      <c r="B101" s="7"/>
    </row>
    <row r="102" spans="2:7" x14ac:dyDescent="0.3">
      <c r="B102" s="7"/>
    </row>
    <row r="103" spans="2:7" x14ac:dyDescent="0.3">
      <c r="B103" s="7"/>
    </row>
    <row r="104" spans="2:7" x14ac:dyDescent="0.3">
      <c r="B104" s="7"/>
    </row>
    <row r="105" spans="2:7" x14ac:dyDescent="0.3">
      <c r="B105" s="7"/>
    </row>
  </sheetData>
  <mergeCells count="3">
    <mergeCell ref="B2:J2"/>
    <mergeCell ref="B32:H32"/>
    <mergeCell ref="B62:H62"/>
  </mergeCells>
  <conditionalFormatting sqref="B4:B30 B64:B89">
    <cfRule type="cellIs" dxfId="4" priority="3" operator="greaterThan">
      <formula>TODAY()</formula>
    </cfRule>
  </conditionalFormatting>
  <conditionalFormatting sqref="B34:B60">
    <cfRule type="cellIs" dxfId="3" priority="4" operator="greaterThan">
      <formula>TODAY()</formula>
    </cfRule>
  </conditionalFormatting>
  <conditionalFormatting sqref="K64:K89">
    <cfRule type="cellIs" dxfId="2" priority="1" operator="lessThan">
      <formula>0</formula>
    </cfRule>
    <cfRule type="cellIs" dxfId="1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8D2B-6F35-4B6C-91BD-B2B577DE6F8D}">
  <sheetPr>
    <tabColor theme="2" tint="-0.89999084444715716"/>
  </sheetPr>
  <dimension ref="B2:I107"/>
  <sheetViews>
    <sheetView showGridLines="0" workbookViewId="0">
      <pane ySplit="3" topLeftCell="A44" activePane="bottomLeft" state="frozen"/>
      <selection pane="bottomLeft" activeCell="K64" sqref="K64"/>
    </sheetView>
  </sheetViews>
  <sheetFormatPr defaultRowHeight="14.4" x14ac:dyDescent="0.3"/>
  <cols>
    <col min="2" max="2" width="10.109375" bestFit="1" customWidth="1"/>
    <col min="3" max="3" width="21.88671875" bestFit="1" customWidth="1"/>
    <col min="4" max="4" width="11.6640625" bestFit="1" customWidth="1"/>
    <col min="5" max="5" width="10.77734375" bestFit="1" customWidth="1"/>
    <col min="6" max="6" width="19.109375" bestFit="1" customWidth="1"/>
    <col min="7" max="7" width="18.88671875" bestFit="1" customWidth="1"/>
    <col min="8" max="8" width="31.5546875" customWidth="1"/>
    <col min="9" max="9" width="8.88671875" style="28"/>
  </cols>
  <sheetData>
    <row r="2" spans="2:9" x14ac:dyDescent="0.3">
      <c r="B2" s="35" t="s">
        <v>94</v>
      </c>
      <c r="C2" s="35"/>
      <c r="D2" s="35"/>
      <c r="E2" s="35"/>
      <c r="F2" s="35"/>
      <c r="G2" s="35"/>
      <c r="H2" s="35"/>
    </row>
    <row r="3" spans="2:9" x14ac:dyDescent="0.3">
      <c r="B3" s="27" t="s">
        <v>48</v>
      </c>
      <c r="C3" s="27" t="s">
        <v>95</v>
      </c>
      <c r="D3" s="27" t="s">
        <v>91</v>
      </c>
      <c r="E3" s="27" t="s">
        <v>92</v>
      </c>
      <c r="F3" s="27" t="s">
        <v>93</v>
      </c>
      <c r="G3" s="27" t="s">
        <v>96</v>
      </c>
      <c r="H3" s="27" t="s">
        <v>94</v>
      </c>
    </row>
    <row r="4" spans="2:9" x14ac:dyDescent="0.3">
      <c r="B4" s="20">
        <v>44197</v>
      </c>
      <c r="C4" s="22">
        <v>10000</v>
      </c>
      <c r="D4" s="22">
        <f>C4-SUM(E4:F4)</f>
        <v>8200</v>
      </c>
      <c r="E4" s="22">
        <v>0</v>
      </c>
      <c r="F4" s="22">
        <f>1000+800</f>
        <v>1800</v>
      </c>
      <c r="G4" s="22">
        <f>C4-F4</f>
        <v>8200</v>
      </c>
      <c r="H4" s="29">
        <f>G4</f>
        <v>8200</v>
      </c>
      <c r="I4" s="28" t="s">
        <v>97</v>
      </c>
    </row>
    <row r="5" spans="2:9" x14ac:dyDescent="0.3">
      <c r="B5" s="20">
        <f>EDATE(B4,1)</f>
        <v>44228</v>
      </c>
      <c r="C5" s="22">
        <v>10000</v>
      </c>
      <c r="D5" s="22">
        <f t="shared" ref="D5:D14" si="0">C5-SUM(E5:F5)</f>
        <v>8200</v>
      </c>
      <c r="E5" s="22">
        <v>0</v>
      </c>
      <c r="F5" s="22">
        <f t="shared" ref="F5:F18" si="1">1000+800</f>
        <v>1800</v>
      </c>
      <c r="G5" s="22">
        <f t="shared" ref="G5:G14" si="2">C5-F5</f>
        <v>8200</v>
      </c>
      <c r="H5" s="29">
        <f>H4+G5</f>
        <v>16400</v>
      </c>
    </row>
    <row r="6" spans="2:9" x14ac:dyDescent="0.3">
      <c r="B6" s="20">
        <f t="shared" ref="B6:B14" si="3">EDATE(B5,1)</f>
        <v>44256</v>
      </c>
      <c r="C6" s="22">
        <v>10000</v>
      </c>
      <c r="D6" s="22">
        <f t="shared" si="0"/>
        <v>8200</v>
      </c>
      <c r="E6" s="22">
        <v>0</v>
      </c>
      <c r="F6" s="22">
        <f t="shared" si="1"/>
        <v>1800</v>
      </c>
      <c r="G6" s="22">
        <f t="shared" si="2"/>
        <v>8200</v>
      </c>
      <c r="H6" s="29">
        <f t="shared" ref="H6:H59" si="4">H5+G6</f>
        <v>24600</v>
      </c>
    </row>
    <row r="7" spans="2:9" x14ac:dyDescent="0.3">
      <c r="B7" s="20">
        <f t="shared" si="3"/>
        <v>44287</v>
      </c>
      <c r="C7" s="22">
        <v>10000</v>
      </c>
      <c r="D7" s="22">
        <f t="shared" si="0"/>
        <v>8200</v>
      </c>
      <c r="E7" s="22">
        <v>0</v>
      </c>
      <c r="F7" s="22">
        <f t="shared" si="1"/>
        <v>1800</v>
      </c>
      <c r="G7" s="22">
        <f t="shared" si="2"/>
        <v>8200</v>
      </c>
      <c r="H7" s="29">
        <f t="shared" si="4"/>
        <v>32800</v>
      </c>
    </row>
    <row r="8" spans="2:9" x14ac:dyDescent="0.3">
      <c r="B8" s="20">
        <f t="shared" si="3"/>
        <v>44317</v>
      </c>
      <c r="C8" s="22">
        <v>10000</v>
      </c>
      <c r="D8" s="22">
        <f t="shared" si="0"/>
        <v>8200</v>
      </c>
      <c r="E8" s="22">
        <v>0</v>
      </c>
      <c r="F8" s="22">
        <f t="shared" si="1"/>
        <v>1800</v>
      </c>
      <c r="G8" s="22">
        <f t="shared" si="2"/>
        <v>8200</v>
      </c>
      <c r="H8" s="29">
        <f t="shared" si="4"/>
        <v>41000</v>
      </c>
    </row>
    <row r="9" spans="2:9" x14ac:dyDescent="0.3">
      <c r="B9" s="20">
        <f t="shared" si="3"/>
        <v>44348</v>
      </c>
      <c r="C9" s="22">
        <v>10000</v>
      </c>
      <c r="D9" s="22">
        <f t="shared" si="0"/>
        <v>8200</v>
      </c>
      <c r="E9" s="22">
        <v>0</v>
      </c>
      <c r="F9" s="22">
        <f t="shared" si="1"/>
        <v>1800</v>
      </c>
      <c r="G9" s="22">
        <f t="shared" si="2"/>
        <v>8200</v>
      </c>
      <c r="H9" s="29">
        <f t="shared" si="4"/>
        <v>49200</v>
      </c>
    </row>
    <row r="10" spans="2:9" x14ac:dyDescent="0.3">
      <c r="B10" s="20">
        <f t="shared" si="3"/>
        <v>44378</v>
      </c>
      <c r="C10" s="22">
        <v>10000</v>
      </c>
      <c r="D10" s="22">
        <f t="shared" si="0"/>
        <v>8200</v>
      </c>
      <c r="E10" s="22">
        <v>0</v>
      </c>
      <c r="F10" s="22">
        <f t="shared" si="1"/>
        <v>1800</v>
      </c>
      <c r="G10" s="22">
        <f t="shared" si="2"/>
        <v>8200</v>
      </c>
      <c r="H10" s="29">
        <f t="shared" si="4"/>
        <v>57400</v>
      </c>
    </row>
    <row r="11" spans="2:9" x14ac:dyDescent="0.3">
      <c r="B11" s="20">
        <f t="shared" si="3"/>
        <v>44409</v>
      </c>
      <c r="C11" s="22">
        <v>10000</v>
      </c>
      <c r="D11" s="22">
        <f t="shared" si="0"/>
        <v>8200</v>
      </c>
      <c r="E11" s="22">
        <v>0</v>
      </c>
      <c r="F11" s="22">
        <f t="shared" si="1"/>
        <v>1800</v>
      </c>
      <c r="G11" s="22">
        <f t="shared" si="2"/>
        <v>8200</v>
      </c>
      <c r="H11" s="29">
        <f t="shared" si="4"/>
        <v>65600</v>
      </c>
    </row>
    <row r="12" spans="2:9" x14ac:dyDescent="0.3">
      <c r="B12" s="20">
        <f t="shared" si="3"/>
        <v>44440</v>
      </c>
      <c r="C12" s="22">
        <v>10000</v>
      </c>
      <c r="D12" s="22">
        <f t="shared" si="0"/>
        <v>8200</v>
      </c>
      <c r="E12" s="22">
        <v>0</v>
      </c>
      <c r="F12" s="22">
        <f t="shared" si="1"/>
        <v>1800</v>
      </c>
      <c r="G12" s="22">
        <f t="shared" si="2"/>
        <v>8200</v>
      </c>
      <c r="H12" s="29">
        <f t="shared" si="4"/>
        <v>73800</v>
      </c>
    </row>
    <row r="13" spans="2:9" x14ac:dyDescent="0.3">
      <c r="B13" s="20">
        <f t="shared" si="3"/>
        <v>44470</v>
      </c>
      <c r="C13" s="22">
        <v>10000</v>
      </c>
      <c r="D13" s="22">
        <f t="shared" si="0"/>
        <v>8200</v>
      </c>
      <c r="E13" s="22">
        <v>0</v>
      </c>
      <c r="F13" s="22">
        <f t="shared" si="1"/>
        <v>1800</v>
      </c>
      <c r="G13" s="22">
        <f t="shared" si="2"/>
        <v>8200</v>
      </c>
      <c r="H13" s="29">
        <f t="shared" si="4"/>
        <v>82000</v>
      </c>
    </row>
    <row r="14" spans="2:9" x14ac:dyDescent="0.3">
      <c r="B14" s="20">
        <f t="shared" si="3"/>
        <v>44501</v>
      </c>
      <c r="C14" s="22">
        <f>6500</f>
        <v>6500</v>
      </c>
      <c r="D14" s="22">
        <f t="shared" si="0"/>
        <v>3200</v>
      </c>
      <c r="E14" s="22">
        <v>1500</v>
      </c>
      <c r="F14" s="22">
        <f t="shared" si="1"/>
        <v>1800</v>
      </c>
      <c r="G14" s="22">
        <f t="shared" si="2"/>
        <v>4700</v>
      </c>
      <c r="H14" s="29">
        <f t="shared" si="4"/>
        <v>86700</v>
      </c>
      <c r="I14" s="28" t="s">
        <v>98</v>
      </c>
    </row>
    <row r="15" spans="2:9" x14ac:dyDescent="0.3">
      <c r="B15" s="20">
        <f t="shared" ref="B15:B59" si="5">EDATE(B14,1)</f>
        <v>44531</v>
      </c>
      <c r="C15" s="22">
        <f>6500</f>
        <v>6500</v>
      </c>
      <c r="D15" s="22">
        <f t="shared" ref="D15:D59" si="6">C15-SUM(E15:F15)</f>
        <v>3200</v>
      </c>
      <c r="E15" s="22">
        <v>1500</v>
      </c>
      <c r="F15" s="22">
        <f t="shared" si="1"/>
        <v>1800</v>
      </c>
      <c r="G15" s="22">
        <f t="shared" ref="G15:G59" si="7">C15-F15</f>
        <v>4700</v>
      </c>
      <c r="H15" s="29">
        <f t="shared" si="4"/>
        <v>91400</v>
      </c>
    </row>
    <row r="16" spans="2:9" x14ac:dyDescent="0.3">
      <c r="B16" s="20">
        <f t="shared" si="5"/>
        <v>44562</v>
      </c>
      <c r="C16" s="22">
        <f>6500</f>
        <v>6500</v>
      </c>
      <c r="D16" s="22">
        <f t="shared" si="6"/>
        <v>3200</v>
      </c>
      <c r="E16" s="22">
        <v>1500</v>
      </c>
      <c r="F16" s="22">
        <f t="shared" si="1"/>
        <v>1800</v>
      </c>
      <c r="G16" s="22">
        <f t="shared" si="7"/>
        <v>4700</v>
      </c>
      <c r="H16" s="29">
        <f t="shared" si="4"/>
        <v>96100</v>
      </c>
    </row>
    <row r="17" spans="2:9" x14ac:dyDescent="0.3">
      <c r="B17" s="20">
        <f t="shared" si="5"/>
        <v>44593</v>
      </c>
      <c r="C17" s="22">
        <f>6500</f>
        <v>6500</v>
      </c>
      <c r="D17" s="22">
        <f t="shared" si="6"/>
        <v>3200</v>
      </c>
      <c r="E17" s="22">
        <v>1500</v>
      </c>
      <c r="F17" s="22">
        <f t="shared" si="1"/>
        <v>1800</v>
      </c>
      <c r="G17" s="22">
        <f t="shared" si="7"/>
        <v>4700</v>
      </c>
      <c r="H17" s="29">
        <f t="shared" si="4"/>
        <v>100800</v>
      </c>
    </row>
    <row r="18" spans="2:9" x14ac:dyDescent="0.3">
      <c r="B18" s="20">
        <f t="shared" si="5"/>
        <v>44621</v>
      </c>
      <c r="C18" s="22">
        <f>6500</f>
        <v>6500</v>
      </c>
      <c r="D18" s="22">
        <f t="shared" si="6"/>
        <v>3200</v>
      </c>
      <c r="E18" s="22">
        <v>1500</v>
      </c>
      <c r="F18" s="22">
        <f t="shared" si="1"/>
        <v>1800</v>
      </c>
      <c r="G18" s="22">
        <f t="shared" si="7"/>
        <v>4700</v>
      </c>
      <c r="H18" s="29">
        <f t="shared" si="4"/>
        <v>105500</v>
      </c>
    </row>
    <row r="19" spans="2:9" x14ac:dyDescent="0.3">
      <c r="B19" s="20">
        <f t="shared" si="5"/>
        <v>44652</v>
      </c>
      <c r="C19" s="22">
        <f>6500</f>
        <v>6500</v>
      </c>
      <c r="D19" s="22">
        <f t="shared" si="6"/>
        <v>2100</v>
      </c>
      <c r="E19" s="22">
        <v>1500</v>
      </c>
      <c r="F19" s="22">
        <f>1100+1800</f>
        <v>2900</v>
      </c>
      <c r="G19" s="22">
        <f t="shared" si="7"/>
        <v>3600</v>
      </c>
      <c r="H19" s="29">
        <f t="shared" si="4"/>
        <v>109100</v>
      </c>
      <c r="I19" s="28" t="s">
        <v>100</v>
      </c>
    </row>
    <row r="20" spans="2:9" x14ac:dyDescent="0.3">
      <c r="B20" s="20">
        <f t="shared" si="5"/>
        <v>44682</v>
      </c>
      <c r="C20" s="22">
        <f>6500</f>
        <v>6500</v>
      </c>
      <c r="D20" s="22">
        <f t="shared" si="6"/>
        <v>2100</v>
      </c>
      <c r="E20" s="22">
        <v>1500</v>
      </c>
      <c r="F20" s="22">
        <f t="shared" ref="F20:F59" si="8">1100+1800</f>
        <v>2900</v>
      </c>
      <c r="G20" s="22">
        <f t="shared" si="7"/>
        <v>3600</v>
      </c>
      <c r="H20" s="29">
        <f t="shared" si="4"/>
        <v>112700</v>
      </c>
    </row>
    <row r="21" spans="2:9" x14ac:dyDescent="0.3">
      <c r="B21" s="20">
        <f t="shared" si="5"/>
        <v>44713</v>
      </c>
      <c r="C21" s="22">
        <f>6500</f>
        <v>6500</v>
      </c>
      <c r="D21" s="22">
        <f t="shared" si="6"/>
        <v>2100</v>
      </c>
      <c r="E21" s="22">
        <v>1500</v>
      </c>
      <c r="F21" s="22">
        <f t="shared" si="8"/>
        <v>2900</v>
      </c>
      <c r="G21" s="22">
        <f t="shared" si="7"/>
        <v>3600</v>
      </c>
      <c r="H21" s="29">
        <f t="shared" si="4"/>
        <v>116300</v>
      </c>
    </row>
    <row r="22" spans="2:9" x14ac:dyDescent="0.3">
      <c r="B22" s="20">
        <f t="shared" si="5"/>
        <v>44743</v>
      </c>
      <c r="C22" s="22">
        <f>6500</f>
        <v>6500</v>
      </c>
      <c r="D22" s="22">
        <f t="shared" si="6"/>
        <v>2100</v>
      </c>
      <c r="E22" s="22">
        <v>1500</v>
      </c>
      <c r="F22" s="22">
        <f t="shared" si="8"/>
        <v>2900</v>
      </c>
      <c r="G22" s="22">
        <f t="shared" si="7"/>
        <v>3600</v>
      </c>
      <c r="H22" s="29">
        <f t="shared" si="4"/>
        <v>119900</v>
      </c>
    </row>
    <row r="23" spans="2:9" x14ac:dyDescent="0.3">
      <c r="B23" s="20">
        <f t="shared" si="5"/>
        <v>44774</v>
      </c>
      <c r="C23" s="22">
        <f>6500</f>
        <v>6500</v>
      </c>
      <c r="D23" s="22">
        <f t="shared" si="6"/>
        <v>2100</v>
      </c>
      <c r="E23" s="22">
        <v>1500</v>
      </c>
      <c r="F23" s="22">
        <f t="shared" si="8"/>
        <v>2900</v>
      </c>
      <c r="G23" s="22">
        <f t="shared" si="7"/>
        <v>3600</v>
      </c>
      <c r="H23" s="29">
        <f t="shared" si="4"/>
        <v>123500</v>
      </c>
    </row>
    <row r="24" spans="2:9" x14ac:dyDescent="0.3">
      <c r="B24" s="20">
        <f t="shared" si="5"/>
        <v>44805</v>
      </c>
      <c r="C24" s="22">
        <f>6500</f>
        <v>6500</v>
      </c>
      <c r="D24" s="22">
        <f t="shared" si="6"/>
        <v>2100</v>
      </c>
      <c r="E24" s="22">
        <v>1500</v>
      </c>
      <c r="F24" s="22">
        <f t="shared" si="8"/>
        <v>2900</v>
      </c>
      <c r="G24" s="22">
        <f t="shared" si="7"/>
        <v>3600</v>
      </c>
      <c r="H24" s="29">
        <f t="shared" si="4"/>
        <v>127100</v>
      </c>
    </row>
    <row r="25" spans="2:9" x14ac:dyDescent="0.3">
      <c r="B25" s="20">
        <f t="shared" si="5"/>
        <v>44835</v>
      </c>
      <c r="C25" s="22">
        <f>6500</f>
        <v>6500</v>
      </c>
      <c r="D25" s="22">
        <f t="shared" si="6"/>
        <v>2100</v>
      </c>
      <c r="E25" s="22">
        <v>1500</v>
      </c>
      <c r="F25" s="22">
        <f t="shared" si="8"/>
        <v>2900</v>
      </c>
      <c r="G25" s="22">
        <f t="shared" si="7"/>
        <v>3600</v>
      </c>
      <c r="H25" s="29">
        <f t="shared" si="4"/>
        <v>130700</v>
      </c>
    </row>
    <row r="26" spans="2:9" x14ac:dyDescent="0.3">
      <c r="B26" s="20">
        <f t="shared" si="5"/>
        <v>44866</v>
      </c>
      <c r="C26" s="22">
        <f>6500</f>
        <v>6500</v>
      </c>
      <c r="D26" s="22">
        <f t="shared" si="6"/>
        <v>2100</v>
      </c>
      <c r="E26" s="22">
        <v>1500</v>
      </c>
      <c r="F26" s="22">
        <f t="shared" si="8"/>
        <v>2900</v>
      </c>
      <c r="G26" s="22">
        <f t="shared" si="7"/>
        <v>3600</v>
      </c>
      <c r="H26" s="29">
        <f t="shared" si="4"/>
        <v>134300</v>
      </c>
    </row>
    <row r="27" spans="2:9" x14ac:dyDescent="0.3">
      <c r="B27" s="20">
        <f t="shared" si="5"/>
        <v>44896</v>
      </c>
      <c r="C27" s="22">
        <f>6500</f>
        <v>6500</v>
      </c>
      <c r="D27" s="22">
        <f t="shared" si="6"/>
        <v>2100</v>
      </c>
      <c r="E27" s="22">
        <v>1500</v>
      </c>
      <c r="F27" s="22">
        <f t="shared" si="8"/>
        <v>2900</v>
      </c>
      <c r="G27" s="22">
        <f t="shared" si="7"/>
        <v>3600</v>
      </c>
      <c r="H27" s="29">
        <f t="shared" si="4"/>
        <v>137900</v>
      </c>
    </row>
    <row r="28" spans="2:9" x14ac:dyDescent="0.3">
      <c r="B28" s="20">
        <f t="shared" si="5"/>
        <v>44927</v>
      </c>
      <c r="C28" s="22">
        <f>6500</f>
        <v>6500</v>
      </c>
      <c r="D28" s="22">
        <f t="shared" si="6"/>
        <v>2100</v>
      </c>
      <c r="E28" s="22">
        <v>1500</v>
      </c>
      <c r="F28" s="22">
        <f t="shared" si="8"/>
        <v>2900</v>
      </c>
      <c r="G28" s="22">
        <f t="shared" si="7"/>
        <v>3600</v>
      </c>
      <c r="H28" s="29">
        <f t="shared" si="4"/>
        <v>141500</v>
      </c>
    </row>
    <row r="29" spans="2:9" x14ac:dyDescent="0.3">
      <c r="B29" s="20">
        <f t="shared" si="5"/>
        <v>44958</v>
      </c>
      <c r="C29" s="22">
        <f>6500</f>
        <v>6500</v>
      </c>
      <c r="D29" s="22">
        <f t="shared" si="6"/>
        <v>2100</v>
      </c>
      <c r="E29" s="22">
        <v>1500</v>
      </c>
      <c r="F29" s="22">
        <f t="shared" si="8"/>
        <v>2900</v>
      </c>
      <c r="G29" s="22">
        <f t="shared" si="7"/>
        <v>3600</v>
      </c>
      <c r="H29" s="29">
        <f t="shared" si="4"/>
        <v>145100</v>
      </c>
    </row>
    <row r="30" spans="2:9" x14ac:dyDescent="0.3">
      <c r="B30" s="20">
        <f t="shared" si="5"/>
        <v>44986</v>
      </c>
      <c r="C30" s="22">
        <f>6500</f>
        <v>6500</v>
      </c>
      <c r="D30" s="22">
        <f t="shared" si="6"/>
        <v>2100</v>
      </c>
      <c r="E30" s="22">
        <v>1500</v>
      </c>
      <c r="F30" s="22">
        <f t="shared" si="8"/>
        <v>2900</v>
      </c>
      <c r="G30" s="22">
        <f t="shared" si="7"/>
        <v>3600</v>
      </c>
      <c r="H30" s="29">
        <f t="shared" si="4"/>
        <v>148700</v>
      </c>
    </row>
    <row r="31" spans="2:9" x14ac:dyDescent="0.3">
      <c r="B31" s="20">
        <f t="shared" si="5"/>
        <v>45017</v>
      </c>
      <c r="C31" s="22">
        <f>6500</f>
        <v>6500</v>
      </c>
      <c r="D31" s="22">
        <f t="shared" si="6"/>
        <v>2100</v>
      </c>
      <c r="E31" s="22">
        <v>1500</v>
      </c>
      <c r="F31" s="22">
        <f t="shared" si="8"/>
        <v>2900</v>
      </c>
      <c r="G31" s="22">
        <f t="shared" si="7"/>
        <v>3600</v>
      </c>
      <c r="H31" s="29">
        <f t="shared" si="4"/>
        <v>152300</v>
      </c>
    </row>
    <row r="32" spans="2:9" x14ac:dyDescent="0.3">
      <c r="B32" s="20">
        <f t="shared" si="5"/>
        <v>45047</v>
      </c>
      <c r="C32" s="22">
        <f>6500</f>
        <v>6500</v>
      </c>
      <c r="D32" s="22">
        <f t="shared" si="6"/>
        <v>2100</v>
      </c>
      <c r="E32" s="22">
        <v>1500</v>
      </c>
      <c r="F32" s="22">
        <f t="shared" si="8"/>
        <v>2900</v>
      </c>
      <c r="G32" s="22">
        <f t="shared" si="7"/>
        <v>3600</v>
      </c>
      <c r="H32" s="29">
        <f t="shared" si="4"/>
        <v>155900</v>
      </c>
    </row>
    <row r="33" spans="2:9" x14ac:dyDescent="0.3">
      <c r="B33" s="20">
        <f t="shared" si="5"/>
        <v>45078</v>
      </c>
      <c r="C33" s="22">
        <f>6500</f>
        <v>6500</v>
      </c>
      <c r="D33" s="22">
        <f t="shared" si="6"/>
        <v>2100</v>
      </c>
      <c r="E33" s="22">
        <v>1500</v>
      </c>
      <c r="F33" s="22">
        <f t="shared" si="8"/>
        <v>2900</v>
      </c>
      <c r="G33" s="22">
        <f t="shared" si="7"/>
        <v>3600</v>
      </c>
      <c r="H33" s="29">
        <f t="shared" si="4"/>
        <v>159500</v>
      </c>
    </row>
    <row r="34" spans="2:9" x14ac:dyDescent="0.3">
      <c r="B34" s="20">
        <f t="shared" si="5"/>
        <v>45108</v>
      </c>
      <c r="C34" s="22">
        <f>6500</f>
        <v>6500</v>
      </c>
      <c r="D34" s="22">
        <f t="shared" si="6"/>
        <v>2100</v>
      </c>
      <c r="E34" s="22">
        <v>1500</v>
      </c>
      <c r="F34" s="22">
        <f t="shared" si="8"/>
        <v>2900</v>
      </c>
      <c r="G34" s="22">
        <f t="shared" si="7"/>
        <v>3600</v>
      </c>
      <c r="H34" s="29">
        <f t="shared" si="4"/>
        <v>163100</v>
      </c>
    </row>
    <row r="35" spans="2:9" x14ac:dyDescent="0.3">
      <c r="B35" s="20">
        <f t="shared" si="5"/>
        <v>45139</v>
      </c>
      <c r="C35" s="22">
        <f>6500</f>
        <v>6500</v>
      </c>
      <c r="D35" s="22">
        <f t="shared" si="6"/>
        <v>2100</v>
      </c>
      <c r="E35" s="22">
        <v>1500</v>
      </c>
      <c r="F35" s="22">
        <f t="shared" si="8"/>
        <v>2900</v>
      </c>
      <c r="G35" s="22">
        <f t="shared" si="7"/>
        <v>3600</v>
      </c>
      <c r="H35" s="29">
        <f t="shared" si="4"/>
        <v>166700</v>
      </c>
    </row>
    <row r="36" spans="2:9" x14ac:dyDescent="0.3">
      <c r="B36" s="20">
        <f t="shared" si="5"/>
        <v>45170</v>
      </c>
      <c r="C36" s="22">
        <f>6500</f>
        <v>6500</v>
      </c>
      <c r="D36" s="22">
        <f t="shared" si="6"/>
        <v>2100</v>
      </c>
      <c r="E36" s="22">
        <v>1500</v>
      </c>
      <c r="F36" s="22">
        <f t="shared" si="8"/>
        <v>2900</v>
      </c>
      <c r="G36" s="22">
        <f t="shared" si="7"/>
        <v>3600</v>
      </c>
      <c r="H36" s="29">
        <f t="shared" si="4"/>
        <v>170300</v>
      </c>
    </row>
    <row r="37" spans="2:9" x14ac:dyDescent="0.3">
      <c r="B37" s="20">
        <f t="shared" si="5"/>
        <v>45200</v>
      </c>
      <c r="C37" s="22">
        <f>6500</f>
        <v>6500</v>
      </c>
      <c r="D37" s="22">
        <f t="shared" si="6"/>
        <v>2100</v>
      </c>
      <c r="E37" s="22">
        <v>1500</v>
      </c>
      <c r="F37" s="22">
        <f t="shared" si="8"/>
        <v>2900</v>
      </c>
      <c r="G37" s="22">
        <f t="shared" si="7"/>
        <v>3600</v>
      </c>
      <c r="H37" s="29">
        <f t="shared" si="4"/>
        <v>173900</v>
      </c>
    </row>
    <row r="38" spans="2:9" x14ac:dyDescent="0.3">
      <c r="B38" s="20">
        <f t="shared" si="5"/>
        <v>45231</v>
      </c>
      <c r="C38" s="22">
        <f>6500</f>
        <v>6500</v>
      </c>
      <c r="D38" s="22">
        <f t="shared" si="6"/>
        <v>2100</v>
      </c>
      <c r="E38" s="22">
        <v>1500</v>
      </c>
      <c r="F38" s="22">
        <f t="shared" si="8"/>
        <v>2900</v>
      </c>
      <c r="G38" s="22">
        <f t="shared" si="7"/>
        <v>3600</v>
      </c>
      <c r="H38" s="29">
        <f t="shared" si="4"/>
        <v>177500</v>
      </c>
    </row>
    <row r="39" spans="2:9" x14ac:dyDescent="0.3">
      <c r="B39" s="20">
        <f t="shared" si="5"/>
        <v>45261</v>
      </c>
      <c r="C39" s="22">
        <f>6500</f>
        <v>6500</v>
      </c>
      <c r="D39" s="22">
        <f t="shared" si="6"/>
        <v>2100</v>
      </c>
      <c r="E39" s="22">
        <v>1500</v>
      </c>
      <c r="F39" s="22">
        <f t="shared" si="8"/>
        <v>2900</v>
      </c>
      <c r="G39" s="22">
        <f t="shared" si="7"/>
        <v>3600</v>
      </c>
      <c r="H39" s="29">
        <f t="shared" si="4"/>
        <v>181100</v>
      </c>
    </row>
    <row r="40" spans="2:9" x14ac:dyDescent="0.3">
      <c r="B40" s="20">
        <f t="shared" si="5"/>
        <v>45292</v>
      </c>
      <c r="C40" s="22">
        <f>6500</f>
        <v>6500</v>
      </c>
      <c r="D40" s="22">
        <f t="shared" si="6"/>
        <v>2100</v>
      </c>
      <c r="E40" s="22">
        <v>1500</v>
      </c>
      <c r="F40" s="22">
        <f t="shared" si="8"/>
        <v>2900</v>
      </c>
      <c r="G40" s="22">
        <f t="shared" si="7"/>
        <v>3600</v>
      </c>
      <c r="H40" s="29">
        <f t="shared" si="4"/>
        <v>184700</v>
      </c>
    </row>
    <row r="41" spans="2:9" x14ac:dyDescent="0.3">
      <c r="B41" s="20">
        <f t="shared" si="5"/>
        <v>45323</v>
      </c>
      <c r="C41" s="22">
        <f>6500</f>
        <v>6500</v>
      </c>
      <c r="D41" s="22">
        <f t="shared" si="6"/>
        <v>2100</v>
      </c>
      <c r="E41" s="22">
        <v>1500</v>
      </c>
      <c r="F41" s="22">
        <f t="shared" si="8"/>
        <v>2900</v>
      </c>
      <c r="G41" s="22">
        <f t="shared" si="7"/>
        <v>3600</v>
      </c>
      <c r="H41" s="29">
        <f t="shared" si="4"/>
        <v>188300</v>
      </c>
    </row>
    <row r="42" spans="2:9" x14ac:dyDescent="0.3">
      <c r="B42" s="20">
        <f t="shared" si="5"/>
        <v>45352</v>
      </c>
      <c r="C42" s="22">
        <f>6500</f>
        <v>6500</v>
      </c>
      <c r="D42" s="22">
        <f t="shared" si="6"/>
        <v>2100</v>
      </c>
      <c r="E42" s="22">
        <v>1500</v>
      </c>
      <c r="F42" s="22">
        <f t="shared" si="8"/>
        <v>2900</v>
      </c>
      <c r="G42" s="22">
        <f t="shared" si="7"/>
        <v>3600</v>
      </c>
      <c r="H42" s="29">
        <f t="shared" si="4"/>
        <v>191900</v>
      </c>
    </row>
    <row r="43" spans="2:9" x14ac:dyDescent="0.3">
      <c r="B43" s="20">
        <f t="shared" si="5"/>
        <v>45383</v>
      </c>
      <c r="C43" s="22">
        <f>6500</f>
        <v>6500</v>
      </c>
      <c r="D43" s="22">
        <f t="shared" si="6"/>
        <v>2100</v>
      </c>
      <c r="E43" s="22">
        <v>1500</v>
      </c>
      <c r="F43" s="22">
        <f t="shared" si="8"/>
        <v>2900</v>
      </c>
      <c r="G43" s="22">
        <f t="shared" si="7"/>
        <v>3600</v>
      </c>
      <c r="H43" s="29">
        <f t="shared" si="4"/>
        <v>195500</v>
      </c>
    </row>
    <row r="44" spans="2:9" x14ac:dyDescent="0.3">
      <c r="B44" s="20">
        <f t="shared" si="5"/>
        <v>45413</v>
      </c>
      <c r="C44" s="22">
        <f>6500</f>
        <v>6500</v>
      </c>
      <c r="D44" s="22">
        <f t="shared" si="6"/>
        <v>2100</v>
      </c>
      <c r="E44" s="22">
        <v>1500</v>
      </c>
      <c r="F44" s="22">
        <f t="shared" si="8"/>
        <v>2900</v>
      </c>
      <c r="G44" s="22">
        <f t="shared" si="7"/>
        <v>3600</v>
      </c>
      <c r="H44" s="29">
        <f t="shared" si="4"/>
        <v>199100</v>
      </c>
    </row>
    <row r="45" spans="2:9" x14ac:dyDescent="0.3">
      <c r="B45" s="20">
        <f t="shared" si="5"/>
        <v>45444</v>
      </c>
      <c r="C45" s="22">
        <f>6500</f>
        <v>6500</v>
      </c>
      <c r="D45" s="22">
        <f t="shared" si="6"/>
        <v>2100</v>
      </c>
      <c r="E45" s="22">
        <v>1500</v>
      </c>
      <c r="F45" s="22">
        <f t="shared" si="8"/>
        <v>2900</v>
      </c>
      <c r="G45" s="22">
        <f t="shared" si="7"/>
        <v>3600</v>
      </c>
      <c r="H45" s="29">
        <f t="shared" si="4"/>
        <v>202700</v>
      </c>
    </row>
    <row r="46" spans="2:9" x14ac:dyDescent="0.3">
      <c r="B46" s="20">
        <f t="shared" si="5"/>
        <v>45474</v>
      </c>
      <c r="C46" s="22">
        <f>6500</f>
        <v>6500</v>
      </c>
      <c r="D46" s="22">
        <f t="shared" si="6"/>
        <v>2100</v>
      </c>
      <c r="E46" s="22">
        <v>1500</v>
      </c>
      <c r="F46" s="22">
        <f t="shared" si="8"/>
        <v>2900</v>
      </c>
      <c r="G46" s="22">
        <f t="shared" si="7"/>
        <v>3600</v>
      </c>
      <c r="H46" s="29">
        <f t="shared" si="4"/>
        <v>206300</v>
      </c>
    </row>
    <row r="47" spans="2:9" x14ac:dyDescent="0.3">
      <c r="B47" s="20">
        <f t="shared" si="5"/>
        <v>45505</v>
      </c>
      <c r="C47" s="22">
        <f>6500</f>
        <v>6500</v>
      </c>
      <c r="D47" s="22">
        <f t="shared" si="6"/>
        <v>3600</v>
      </c>
      <c r="E47" s="22">
        <v>0</v>
      </c>
      <c r="F47" s="22">
        <f t="shared" si="8"/>
        <v>2900</v>
      </c>
      <c r="G47" s="22">
        <f t="shared" si="7"/>
        <v>3600</v>
      </c>
      <c r="H47" s="29">
        <f t="shared" si="4"/>
        <v>209900</v>
      </c>
      <c r="I47" s="28" t="s">
        <v>99</v>
      </c>
    </row>
    <row r="48" spans="2:9" x14ac:dyDescent="0.3">
      <c r="B48" s="20">
        <f t="shared" si="5"/>
        <v>45536</v>
      </c>
      <c r="C48" s="22">
        <f>6500</f>
        <v>6500</v>
      </c>
      <c r="D48" s="22">
        <f t="shared" si="6"/>
        <v>3600</v>
      </c>
      <c r="E48" s="22">
        <v>0</v>
      </c>
      <c r="F48" s="22">
        <f t="shared" si="8"/>
        <v>2900</v>
      </c>
      <c r="G48" s="22">
        <f t="shared" si="7"/>
        <v>3600</v>
      </c>
      <c r="H48" s="29">
        <f t="shared" si="4"/>
        <v>213500</v>
      </c>
    </row>
    <row r="49" spans="2:8" x14ac:dyDescent="0.3">
      <c r="B49" s="20">
        <f t="shared" si="5"/>
        <v>45566</v>
      </c>
      <c r="C49" s="22">
        <f>6500</f>
        <v>6500</v>
      </c>
      <c r="D49" s="22">
        <f t="shared" si="6"/>
        <v>3600</v>
      </c>
      <c r="E49" s="22">
        <v>0</v>
      </c>
      <c r="F49" s="22">
        <f t="shared" si="8"/>
        <v>2900</v>
      </c>
      <c r="G49" s="22">
        <f t="shared" si="7"/>
        <v>3600</v>
      </c>
      <c r="H49" s="29">
        <f t="shared" si="4"/>
        <v>217100</v>
      </c>
    </row>
    <row r="50" spans="2:8" x14ac:dyDescent="0.3">
      <c r="B50" s="20">
        <f t="shared" si="5"/>
        <v>45597</v>
      </c>
      <c r="C50" s="22">
        <f>6500</f>
        <v>6500</v>
      </c>
      <c r="D50" s="22">
        <f t="shared" si="6"/>
        <v>3600</v>
      </c>
      <c r="E50" s="22">
        <v>0</v>
      </c>
      <c r="F50" s="22">
        <f t="shared" si="8"/>
        <v>2900</v>
      </c>
      <c r="G50" s="22">
        <f t="shared" si="7"/>
        <v>3600</v>
      </c>
      <c r="H50" s="29">
        <f t="shared" si="4"/>
        <v>220700</v>
      </c>
    </row>
    <row r="51" spans="2:8" x14ac:dyDescent="0.3">
      <c r="B51" s="20">
        <f t="shared" si="5"/>
        <v>45627</v>
      </c>
      <c r="C51" s="22">
        <f>6500</f>
        <v>6500</v>
      </c>
      <c r="D51" s="22">
        <f t="shared" si="6"/>
        <v>3600</v>
      </c>
      <c r="E51" s="22">
        <v>0</v>
      </c>
      <c r="F51" s="22">
        <f t="shared" si="8"/>
        <v>2900</v>
      </c>
      <c r="G51" s="22">
        <f t="shared" si="7"/>
        <v>3600</v>
      </c>
      <c r="H51" s="29">
        <f t="shared" si="4"/>
        <v>224300</v>
      </c>
    </row>
    <row r="52" spans="2:8" x14ac:dyDescent="0.3">
      <c r="B52" s="20">
        <f t="shared" si="5"/>
        <v>45658</v>
      </c>
      <c r="C52" s="22">
        <f>6500</f>
        <v>6500</v>
      </c>
      <c r="D52" s="22">
        <f t="shared" si="6"/>
        <v>3600</v>
      </c>
      <c r="E52" s="22">
        <v>0</v>
      </c>
      <c r="F52" s="22">
        <f t="shared" si="8"/>
        <v>2900</v>
      </c>
      <c r="G52" s="22">
        <f t="shared" si="7"/>
        <v>3600</v>
      </c>
      <c r="H52" s="29">
        <f t="shared" si="4"/>
        <v>227900</v>
      </c>
    </row>
    <row r="53" spans="2:8" x14ac:dyDescent="0.3">
      <c r="B53" s="20">
        <f t="shared" si="5"/>
        <v>45689</v>
      </c>
      <c r="C53" s="22">
        <f>6500</f>
        <v>6500</v>
      </c>
      <c r="D53" s="22">
        <f t="shared" si="6"/>
        <v>3600</v>
      </c>
      <c r="E53" s="22">
        <v>0</v>
      </c>
      <c r="F53" s="22">
        <f t="shared" si="8"/>
        <v>2900</v>
      </c>
      <c r="G53" s="22">
        <f t="shared" si="7"/>
        <v>3600</v>
      </c>
      <c r="H53" s="29">
        <f t="shared" si="4"/>
        <v>231500</v>
      </c>
    </row>
    <row r="54" spans="2:8" x14ac:dyDescent="0.3">
      <c r="B54" s="20">
        <f t="shared" si="5"/>
        <v>45717</v>
      </c>
      <c r="C54" s="22">
        <f>6500</f>
        <v>6500</v>
      </c>
      <c r="D54" s="22">
        <f t="shared" si="6"/>
        <v>3600</v>
      </c>
      <c r="E54" s="22">
        <v>0</v>
      </c>
      <c r="F54" s="22">
        <f t="shared" si="8"/>
        <v>2900</v>
      </c>
      <c r="G54" s="22">
        <f t="shared" si="7"/>
        <v>3600</v>
      </c>
      <c r="H54" s="29">
        <f t="shared" si="4"/>
        <v>235100</v>
      </c>
    </row>
    <row r="55" spans="2:8" x14ac:dyDescent="0.3">
      <c r="B55" s="20">
        <f t="shared" si="5"/>
        <v>45748</v>
      </c>
      <c r="C55" s="22">
        <f>6500</f>
        <v>6500</v>
      </c>
      <c r="D55" s="22">
        <f t="shared" si="6"/>
        <v>3600</v>
      </c>
      <c r="E55" s="22">
        <v>0</v>
      </c>
      <c r="F55" s="22">
        <f t="shared" si="8"/>
        <v>2900</v>
      </c>
      <c r="G55" s="22">
        <f t="shared" si="7"/>
        <v>3600</v>
      </c>
      <c r="H55" s="29">
        <f t="shared" si="4"/>
        <v>238700</v>
      </c>
    </row>
    <row r="56" spans="2:8" x14ac:dyDescent="0.3">
      <c r="B56" s="20">
        <f t="shared" si="5"/>
        <v>45778</v>
      </c>
      <c r="C56" s="22">
        <f>6500</f>
        <v>6500</v>
      </c>
      <c r="D56" s="22">
        <f t="shared" si="6"/>
        <v>3600</v>
      </c>
      <c r="E56" s="22">
        <v>0</v>
      </c>
      <c r="F56" s="22">
        <f t="shared" si="8"/>
        <v>2900</v>
      </c>
      <c r="G56" s="22">
        <f t="shared" si="7"/>
        <v>3600</v>
      </c>
      <c r="H56" s="29">
        <f t="shared" si="4"/>
        <v>242300</v>
      </c>
    </row>
    <row r="57" spans="2:8" x14ac:dyDescent="0.3">
      <c r="B57" s="20">
        <f t="shared" si="5"/>
        <v>45809</v>
      </c>
      <c r="C57" s="22">
        <f>6500</f>
        <v>6500</v>
      </c>
      <c r="D57" s="22">
        <f t="shared" si="6"/>
        <v>3600</v>
      </c>
      <c r="E57" s="22">
        <v>0</v>
      </c>
      <c r="F57" s="22">
        <f t="shared" si="8"/>
        <v>2900</v>
      </c>
      <c r="G57" s="22">
        <f t="shared" si="7"/>
        <v>3600</v>
      </c>
      <c r="H57" s="29">
        <f t="shared" si="4"/>
        <v>245900</v>
      </c>
    </row>
    <row r="58" spans="2:8" x14ac:dyDescent="0.3">
      <c r="B58" s="20">
        <f t="shared" si="5"/>
        <v>45839</v>
      </c>
      <c r="C58" s="22">
        <f>6500</f>
        <v>6500</v>
      </c>
      <c r="D58" s="22">
        <f t="shared" si="6"/>
        <v>3600</v>
      </c>
      <c r="E58" s="22">
        <v>0</v>
      </c>
      <c r="F58" s="22">
        <f t="shared" si="8"/>
        <v>2900</v>
      </c>
      <c r="G58" s="22">
        <f t="shared" si="7"/>
        <v>3600</v>
      </c>
      <c r="H58" s="29">
        <f t="shared" si="4"/>
        <v>249500</v>
      </c>
    </row>
    <row r="59" spans="2:8" x14ac:dyDescent="0.3">
      <c r="B59" s="20">
        <f t="shared" si="5"/>
        <v>45870</v>
      </c>
      <c r="C59" s="22">
        <f>6500</f>
        <v>6500</v>
      </c>
      <c r="D59" s="22">
        <f t="shared" si="6"/>
        <v>3600</v>
      </c>
      <c r="E59" s="22">
        <v>0</v>
      </c>
      <c r="F59" s="22">
        <f t="shared" si="8"/>
        <v>2900</v>
      </c>
      <c r="G59" s="22">
        <f t="shared" si="7"/>
        <v>3600</v>
      </c>
      <c r="H59" s="29">
        <f t="shared" si="4"/>
        <v>253100</v>
      </c>
    </row>
    <row r="60" spans="2:8" x14ac:dyDescent="0.3">
      <c r="B60" s="20">
        <f t="shared" ref="B60:B107" si="9">EDATE(B59,1)</f>
        <v>45901</v>
      </c>
      <c r="C60" s="22">
        <v>1500</v>
      </c>
      <c r="D60" s="22">
        <f t="shared" ref="D60:D107" si="10">C60-SUM(E60:F60)</f>
        <v>400</v>
      </c>
      <c r="E60" s="22">
        <v>0</v>
      </c>
      <c r="F60" s="22">
        <f>1100</f>
        <v>1100</v>
      </c>
      <c r="G60" s="22">
        <f t="shared" ref="G60:G107" si="11">C60-F60</f>
        <v>400</v>
      </c>
      <c r="H60" s="29">
        <f t="shared" ref="H60:H107" si="12">H59+G60</f>
        <v>253500</v>
      </c>
    </row>
    <row r="61" spans="2:8" x14ac:dyDescent="0.3">
      <c r="B61" s="20">
        <f t="shared" si="9"/>
        <v>45931</v>
      </c>
      <c r="C61" s="22">
        <v>1500</v>
      </c>
      <c r="D61" s="22">
        <f t="shared" si="10"/>
        <v>400</v>
      </c>
      <c r="E61" s="22">
        <v>0</v>
      </c>
      <c r="F61" s="22">
        <f>1100</f>
        <v>1100</v>
      </c>
      <c r="G61" s="22">
        <f t="shared" si="11"/>
        <v>400</v>
      </c>
      <c r="H61" s="29">
        <f t="shared" si="12"/>
        <v>253900</v>
      </c>
    </row>
    <row r="62" spans="2:8" x14ac:dyDescent="0.3">
      <c r="B62" s="20">
        <f t="shared" si="9"/>
        <v>45962</v>
      </c>
      <c r="C62" s="22">
        <v>1500</v>
      </c>
      <c r="D62" s="22">
        <f t="shared" si="10"/>
        <v>400</v>
      </c>
      <c r="E62" s="22">
        <v>0</v>
      </c>
      <c r="F62" s="22">
        <f>1100</f>
        <v>1100</v>
      </c>
      <c r="G62" s="22">
        <f t="shared" si="11"/>
        <v>400</v>
      </c>
      <c r="H62" s="29">
        <f t="shared" si="12"/>
        <v>254300</v>
      </c>
    </row>
    <row r="63" spans="2:8" x14ac:dyDescent="0.3">
      <c r="B63" s="20">
        <f t="shared" si="9"/>
        <v>45992</v>
      </c>
      <c r="C63" s="22">
        <f>6500</f>
        <v>6500</v>
      </c>
      <c r="D63" s="22">
        <f t="shared" si="10"/>
        <v>5400</v>
      </c>
      <c r="E63" s="22">
        <v>0</v>
      </c>
      <c r="F63" s="22">
        <f>1100</f>
        <v>1100</v>
      </c>
      <c r="G63" s="22">
        <f t="shared" si="11"/>
        <v>5400</v>
      </c>
      <c r="H63" s="29">
        <f t="shared" si="12"/>
        <v>259700</v>
      </c>
    </row>
    <row r="64" spans="2:8" x14ac:dyDescent="0.3">
      <c r="B64" s="20">
        <f t="shared" si="9"/>
        <v>46023</v>
      </c>
      <c r="C64" s="22">
        <f>6500</f>
        <v>6500</v>
      </c>
      <c r="D64" s="22">
        <f t="shared" si="10"/>
        <v>5400</v>
      </c>
      <c r="E64" s="22">
        <v>0</v>
      </c>
      <c r="F64" s="22">
        <f>1100</f>
        <v>1100</v>
      </c>
      <c r="G64" s="22">
        <f t="shared" si="11"/>
        <v>5400</v>
      </c>
      <c r="H64" s="29">
        <f t="shared" si="12"/>
        <v>265100</v>
      </c>
    </row>
    <row r="65" spans="2:8" x14ac:dyDescent="0.3">
      <c r="B65" s="20">
        <f t="shared" si="9"/>
        <v>46054</v>
      </c>
      <c r="C65" s="22">
        <f>6500</f>
        <v>6500</v>
      </c>
      <c r="D65" s="22">
        <f t="shared" si="10"/>
        <v>5400</v>
      </c>
      <c r="E65" s="22">
        <v>0</v>
      </c>
      <c r="F65" s="22">
        <f>1100</f>
        <v>1100</v>
      </c>
      <c r="G65" s="22">
        <f t="shared" si="11"/>
        <v>5400</v>
      </c>
      <c r="H65" s="29">
        <f t="shared" si="12"/>
        <v>270500</v>
      </c>
    </row>
    <row r="66" spans="2:8" x14ac:dyDescent="0.3">
      <c r="B66" s="20">
        <f t="shared" si="9"/>
        <v>46082</v>
      </c>
      <c r="C66" s="22">
        <f>6500</f>
        <v>6500</v>
      </c>
      <c r="D66" s="22">
        <f t="shared" si="10"/>
        <v>5400</v>
      </c>
      <c r="E66" s="22">
        <v>0</v>
      </c>
      <c r="F66" s="22">
        <f>1100</f>
        <v>1100</v>
      </c>
      <c r="G66" s="22">
        <f t="shared" si="11"/>
        <v>5400</v>
      </c>
      <c r="H66" s="29">
        <f t="shared" si="12"/>
        <v>275900</v>
      </c>
    </row>
    <row r="67" spans="2:8" x14ac:dyDescent="0.3">
      <c r="B67" s="20">
        <f t="shared" si="9"/>
        <v>46113</v>
      </c>
      <c r="C67" s="22">
        <f>6500</f>
        <v>6500</v>
      </c>
      <c r="D67" s="22">
        <f t="shared" si="10"/>
        <v>5400</v>
      </c>
      <c r="E67" s="22">
        <v>0</v>
      </c>
      <c r="F67" s="22">
        <f>1100</f>
        <v>1100</v>
      </c>
      <c r="G67" s="22">
        <f t="shared" si="11"/>
        <v>5400</v>
      </c>
      <c r="H67" s="29">
        <f t="shared" si="12"/>
        <v>281300</v>
      </c>
    </row>
    <row r="68" spans="2:8" x14ac:dyDescent="0.3">
      <c r="B68" s="20">
        <f t="shared" si="9"/>
        <v>46143</v>
      </c>
      <c r="C68" s="22">
        <f>6500</f>
        <v>6500</v>
      </c>
      <c r="D68" s="22">
        <f t="shared" si="10"/>
        <v>5400</v>
      </c>
      <c r="E68" s="22">
        <v>0</v>
      </c>
      <c r="F68" s="22">
        <f>1100</f>
        <v>1100</v>
      </c>
      <c r="G68" s="22">
        <f t="shared" si="11"/>
        <v>5400</v>
      </c>
      <c r="H68" s="29">
        <f t="shared" si="12"/>
        <v>286700</v>
      </c>
    </row>
    <row r="69" spans="2:8" x14ac:dyDescent="0.3">
      <c r="B69" s="20">
        <f t="shared" si="9"/>
        <v>46174</v>
      </c>
      <c r="C69" s="22">
        <f>6500</f>
        <v>6500</v>
      </c>
      <c r="D69" s="22">
        <f t="shared" si="10"/>
        <v>5400</v>
      </c>
      <c r="E69" s="22">
        <v>0</v>
      </c>
      <c r="F69" s="22">
        <f>1100</f>
        <v>1100</v>
      </c>
      <c r="G69" s="22">
        <f t="shared" si="11"/>
        <v>5400</v>
      </c>
      <c r="H69" s="29">
        <f t="shared" si="12"/>
        <v>292100</v>
      </c>
    </row>
    <row r="70" spans="2:8" x14ac:dyDescent="0.3">
      <c r="B70" s="20">
        <f t="shared" si="9"/>
        <v>46204</v>
      </c>
      <c r="C70" s="22">
        <f>6500</f>
        <v>6500</v>
      </c>
      <c r="D70" s="22">
        <f t="shared" si="10"/>
        <v>5400</v>
      </c>
      <c r="E70" s="22">
        <v>0</v>
      </c>
      <c r="F70" s="22">
        <f>1100</f>
        <v>1100</v>
      </c>
      <c r="G70" s="22">
        <f t="shared" si="11"/>
        <v>5400</v>
      </c>
      <c r="H70" s="29">
        <f t="shared" si="12"/>
        <v>297500</v>
      </c>
    </row>
    <row r="71" spans="2:8" x14ac:dyDescent="0.3">
      <c r="B71" s="20">
        <f t="shared" si="9"/>
        <v>46235</v>
      </c>
      <c r="C71" s="22">
        <f>6500</f>
        <v>6500</v>
      </c>
      <c r="D71" s="22">
        <f t="shared" si="10"/>
        <v>5400</v>
      </c>
      <c r="E71" s="22">
        <v>0</v>
      </c>
      <c r="F71" s="22">
        <f>1100</f>
        <v>1100</v>
      </c>
      <c r="G71" s="22">
        <f t="shared" si="11"/>
        <v>5400</v>
      </c>
      <c r="H71" s="29">
        <f t="shared" si="12"/>
        <v>302900</v>
      </c>
    </row>
    <row r="72" spans="2:8" x14ac:dyDescent="0.3">
      <c r="B72" s="20">
        <f t="shared" si="9"/>
        <v>46266</v>
      </c>
      <c r="C72" s="22">
        <f>6500</f>
        <v>6500</v>
      </c>
      <c r="D72" s="22">
        <f t="shared" si="10"/>
        <v>5400</v>
      </c>
      <c r="E72" s="22">
        <v>0</v>
      </c>
      <c r="F72" s="22">
        <f>1100</f>
        <v>1100</v>
      </c>
      <c r="G72" s="22">
        <f t="shared" si="11"/>
        <v>5400</v>
      </c>
      <c r="H72" s="29">
        <f t="shared" si="12"/>
        <v>308300</v>
      </c>
    </row>
    <row r="73" spans="2:8" x14ac:dyDescent="0.3">
      <c r="B73" s="20">
        <f t="shared" si="9"/>
        <v>46296</v>
      </c>
      <c r="C73" s="22">
        <f>6500</f>
        <v>6500</v>
      </c>
      <c r="D73" s="22">
        <f t="shared" si="10"/>
        <v>5400</v>
      </c>
      <c r="E73" s="22">
        <v>0</v>
      </c>
      <c r="F73" s="22">
        <f>1100</f>
        <v>1100</v>
      </c>
      <c r="G73" s="22">
        <f t="shared" si="11"/>
        <v>5400</v>
      </c>
      <c r="H73" s="29">
        <f t="shared" si="12"/>
        <v>313700</v>
      </c>
    </row>
    <row r="74" spans="2:8" x14ac:dyDescent="0.3">
      <c r="B74" s="20">
        <f t="shared" si="9"/>
        <v>46327</v>
      </c>
      <c r="C74" s="22">
        <f>6500</f>
        <v>6500</v>
      </c>
      <c r="D74" s="22">
        <f t="shared" si="10"/>
        <v>5400</v>
      </c>
      <c r="E74" s="22">
        <v>0</v>
      </c>
      <c r="F74" s="22">
        <f>1100</f>
        <v>1100</v>
      </c>
      <c r="G74" s="22">
        <f t="shared" si="11"/>
        <v>5400</v>
      </c>
      <c r="H74" s="29">
        <f t="shared" si="12"/>
        <v>319100</v>
      </c>
    </row>
    <row r="75" spans="2:8" x14ac:dyDescent="0.3">
      <c r="B75" s="20">
        <f t="shared" si="9"/>
        <v>46357</v>
      </c>
      <c r="C75" s="22">
        <f>6500</f>
        <v>6500</v>
      </c>
      <c r="D75" s="22">
        <f t="shared" si="10"/>
        <v>5400</v>
      </c>
      <c r="E75" s="22">
        <v>0</v>
      </c>
      <c r="F75" s="22">
        <f>1100</f>
        <v>1100</v>
      </c>
      <c r="G75" s="22">
        <f t="shared" si="11"/>
        <v>5400</v>
      </c>
      <c r="H75" s="29">
        <f t="shared" si="12"/>
        <v>324500</v>
      </c>
    </row>
    <row r="76" spans="2:8" x14ac:dyDescent="0.3">
      <c r="B76" s="20">
        <f t="shared" si="9"/>
        <v>46388</v>
      </c>
      <c r="C76" s="22">
        <f>6500</f>
        <v>6500</v>
      </c>
      <c r="D76" s="22">
        <f t="shared" si="10"/>
        <v>5400</v>
      </c>
      <c r="E76" s="22">
        <v>0</v>
      </c>
      <c r="F76" s="22">
        <f>1100</f>
        <v>1100</v>
      </c>
      <c r="G76" s="22">
        <f t="shared" si="11"/>
        <v>5400</v>
      </c>
      <c r="H76" s="29">
        <f t="shared" si="12"/>
        <v>329900</v>
      </c>
    </row>
    <row r="77" spans="2:8" x14ac:dyDescent="0.3">
      <c r="B77" s="20">
        <f t="shared" si="9"/>
        <v>46419</v>
      </c>
      <c r="C77" s="22">
        <f>6500</f>
        <v>6500</v>
      </c>
      <c r="D77" s="22">
        <f t="shared" si="10"/>
        <v>5400</v>
      </c>
      <c r="E77" s="22">
        <v>0</v>
      </c>
      <c r="F77" s="22">
        <f>1100</f>
        <v>1100</v>
      </c>
      <c r="G77" s="22">
        <f t="shared" si="11"/>
        <v>5400</v>
      </c>
      <c r="H77" s="29">
        <f t="shared" si="12"/>
        <v>335300</v>
      </c>
    </row>
    <row r="78" spans="2:8" x14ac:dyDescent="0.3">
      <c r="B78" s="20">
        <f t="shared" si="9"/>
        <v>46447</v>
      </c>
      <c r="C78" s="22">
        <f>6500</f>
        <v>6500</v>
      </c>
      <c r="D78" s="22">
        <f t="shared" si="10"/>
        <v>5400</v>
      </c>
      <c r="E78" s="22">
        <v>0</v>
      </c>
      <c r="F78" s="22">
        <f>1100</f>
        <v>1100</v>
      </c>
      <c r="G78" s="22">
        <f t="shared" si="11"/>
        <v>5400</v>
      </c>
      <c r="H78" s="29">
        <f t="shared" si="12"/>
        <v>340700</v>
      </c>
    </row>
    <row r="79" spans="2:8" x14ac:dyDescent="0.3">
      <c r="B79" s="20">
        <f t="shared" si="9"/>
        <v>46478</v>
      </c>
      <c r="C79" s="22">
        <f>6500</f>
        <v>6500</v>
      </c>
      <c r="D79" s="22">
        <f t="shared" si="10"/>
        <v>5400</v>
      </c>
      <c r="E79" s="22">
        <v>0</v>
      </c>
      <c r="F79" s="22">
        <f>1100</f>
        <v>1100</v>
      </c>
      <c r="G79" s="22">
        <f t="shared" si="11"/>
        <v>5400</v>
      </c>
      <c r="H79" s="29">
        <f t="shared" si="12"/>
        <v>346100</v>
      </c>
    </row>
    <row r="80" spans="2:8" x14ac:dyDescent="0.3">
      <c r="B80" s="20">
        <f t="shared" si="9"/>
        <v>46508</v>
      </c>
      <c r="C80" s="22">
        <f>6500</f>
        <v>6500</v>
      </c>
      <c r="D80" s="22">
        <f t="shared" si="10"/>
        <v>5400</v>
      </c>
      <c r="E80" s="22">
        <v>0</v>
      </c>
      <c r="F80" s="22">
        <f>1100</f>
        <v>1100</v>
      </c>
      <c r="G80" s="22">
        <f t="shared" si="11"/>
        <v>5400</v>
      </c>
      <c r="H80" s="29">
        <f t="shared" si="12"/>
        <v>351500</v>
      </c>
    </row>
    <row r="81" spans="2:8" x14ac:dyDescent="0.3">
      <c r="B81" s="20">
        <f t="shared" si="9"/>
        <v>46539</v>
      </c>
      <c r="C81" s="22">
        <f>6500</f>
        <v>6500</v>
      </c>
      <c r="D81" s="22">
        <f t="shared" si="10"/>
        <v>5400</v>
      </c>
      <c r="E81" s="22">
        <v>0</v>
      </c>
      <c r="F81" s="22">
        <f>1100</f>
        <v>1100</v>
      </c>
      <c r="G81" s="22">
        <f t="shared" si="11"/>
        <v>5400</v>
      </c>
      <c r="H81" s="29">
        <f t="shared" si="12"/>
        <v>356900</v>
      </c>
    </row>
    <row r="82" spans="2:8" x14ac:dyDescent="0.3">
      <c r="B82" s="20">
        <f t="shared" si="9"/>
        <v>46569</v>
      </c>
      <c r="C82" s="22">
        <f>6500</f>
        <v>6500</v>
      </c>
      <c r="D82" s="22">
        <f t="shared" si="10"/>
        <v>5400</v>
      </c>
      <c r="E82" s="22">
        <v>0</v>
      </c>
      <c r="F82" s="22">
        <f>1100</f>
        <v>1100</v>
      </c>
      <c r="G82" s="22">
        <f t="shared" si="11"/>
        <v>5400</v>
      </c>
      <c r="H82" s="29">
        <f t="shared" si="12"/>
        <v>362300</v>
      </c>
    </row>
    <row r="83" spans="2:8" x14ac:dyDescent="0.3">
      <c r="B83" s="20">
        <f t="shared" si="9"/>
        <v>46600</v>
      </c>
      <c r="C83" s="22">
        <f>6500</f>
        <v>6500</v>
      </c>
      <c r="D83" s="22">
        <f t="shared" si="10"/>
        <v>5400</v>
      </c>
      <c r="E83" s="22">
        <v>0</v>
      </c>
      <c r="F83" s="22">
        <f>1100</f>
        <v>1100</v>
      </c>
      <c r="G83" s="22">
        <f t="shared" si="11"/>
        <v>5400</v>
      </c>
      <c r="H83" s="29">
        <f t="shared" si="12"/>
        <v>367700</v>
      </c>
    </row>
    <row r="84" spans="2:8" x14ac:dyDescent="0.3">
      <c r="B84" s="20">
        <f t="shared" si="9"/>
        <v>46631</v>
      </c>
      <c r="C84" s="22">
        <f>6500</f>
        <v>6500</v>
      </c>
      <c r="D84" s="22">
        <f t="shared" si="10"/>
        <v>5400</v>
      </c>
      <c r="E84" s="22">
        <v>0</v>
      </c>
      <c r="F84" s="22">
        <f>1100</f>
        <v>1100</v>
      </c>
      <c r="G84" s="22">
        <f t="shared" si="11"/>
        <v>5400</v>
      </c>
      <c r="H84" s="29">
        <f t="shared" si="12"/>
        <v>373100</v>
      </c>
    </row>
    <row r="85" spans="2:8" x14ac:dyDescent="0.3">
      <c r="B85" s="20">
        <f t="shared" si="9"/>
        <v>46661</v>
      </c>
      <c r="C85" s="22">
        <f>6500</f>
        <v>6500</v>
      </c>
      <c r="D85" s="22">
        <f t="shared" si="10"/>
        <v>5400</v>
      </c>
      <c r="E85" s="22">
        <v>0</v>
      </c>
      <c r="F85" s="22">
        <f>1100</f>
        <v>1100</v>
      </c>
      <c r="G85" s="22">
        <f t="shared" si="11"/>
        <v>5400</v>
      </c>
      <c r="H85" s="29">
        <f t="shared" si="12"/>
        <v>378500</v>
      </c>
    </row>
    <row r="86" spans="2:8" x14ac:dyDescent="0.3">
      <c r="B86" s="20">
        <f t="shared" si="9"/>
        <v>46692</v>
      </c>
      <c r="C86" s="22">
        <f>6500</f>
        <v>6500</v>
      </c>
      <c r="D86" s="22">
        <f t="shared" si="10"/>
        <v>5400</v>
      </c>
      <c r="E86" s="22">
        <v>0</v>
      </c>
      <c r="F86" s="22">
        <f>1100</f>
        <v>1100</v>
      </c>
      <c r="G86" s="22">
        <f t="shared" si="11"/>
        <v>5400</v>
      </c>
      <c r="H86" s="29">
        <f t="shared" si="12"/>
        <v>383900</v>
      </c>
    </row>
    <row r="87" spans="2:8" x14ac:dyDescent="0.3">
      <c r="B87" s="20">
        <f t="shared" si="9"/>
        <v>46722</v>
      </c>
      <c r="C87" s="22">
        <f>6500</f>
        <v>6500</v>
      </c>
      <c r="D87" s="22">
        <f t="shared" si="10"/>
        <v>5400</v>
      </c>
      <c r="E87" s="22">
        <v>0</v>
      </c>
      <c r="F87" s="22">
        <f>1100</f>
        <v>1100</v>
      </c>
      <c r="G87" s="22">
        <f t="shared" si="11"/>
        <v>5400</v>
      </c>
      <c r="H87" s="29">
        <f t="shared" si="12"/>
        <v>389300</v>
      </c>
    </row>
    <row r="88" spans="2:8" x14ac:dyDescent="0.3">
      <c r="B88" s="20">
        <f t="shared" si="9"/>
        <v>46753</v>
      </c>
      <c r="C88" s="22">
        <f>6500</f>
        <v>6500</v>
      </c>
      <c r="D88" s="22">
        <f t="shared" si="10"/>
        <v>5400</v>
      </c>
      <c r="E88" s="22">
        <v>0</v>
      </c>
      <c r="F88" s="22">
        <f>1100</f>
        <v>1100</v>
      </c>
      <c r="G88" s="22">
        <f t="shared" si="11"/>
        <v>5400</v>
      </c>
      <c r="H88" s="29">
        <f t="shared" si="12"/>
        <v>394700</v>
      </c>
    </row>
    <row r="89" spans="2:8" x14ac:dyDescent="0.3">
      <c r="B89" s="20">
        <f t="shared" si="9"/>
        <v>46784</v>
      </c>
      <c r="C89" s="22">
        <f>6500</f>
        <v>6500</v>
      </c>
      <c r="D89" s="22">
        <f t="shared" si="10"/>
        <v>5400</v>
      </c>
      <c r="E89" s="22">
        <v>0</v>
      </c>
      <c r="F89" s="22">
        <f>1100</f>
        <v>1100</v>
      </c>
      <c r="G89" s="22">
        <f t="shared" si="11"/>
        <v>5400</v>
      </c>
      <c r="H89" s="29">
        <f t="shared" si="12"/>
        <v>400100</v>
      </c>
    </row>
    <row r="90" spans="2:8" x14ac:dyDescent="0.3">
      <c r="B90" s="20">
        <f t="shared" si="9"/>
        <v>46813</v>
      </c>
      <c r="C90" s="22">
        <f>6500</f>
        <v>6500</v>
      </c>
      <c r="D90" s="22">
        <f t="shared" si="10"/>
        <v>5400</v>
      </c>
      <c r="E90" s="22">
        <v>0</v>
      </c>
      <c r="F90" s="22">
        <f>1100</f>
        <v>1100</v>
      </c>
      <c r="G90" s="22">
        <f t="shared" si="11"/>
        <v>5400</v>
      </c>
      <c r="H90" s="29">
        <f t="shared" si="12"/>
        <v>405500</v>
      </c>
    </row>
    <row r="91" spans="2:8" x14ac:dyDescent="0.3">
      <c r="B91" s="20">
        <f t="shared" si="9"/>
        <v>46844</v>
      </c>
      <c r="C91" s="22">
        <f>6500</f>
        <v>6500</v>
      </c>
      <c r="D91" s="22">
        <f t="shared" si="10"/>
        <v>5400</v>
      </c>
      <c r="E91" s="22">
        <v>0</v>
      </c>
      <c r="F91" s="22">
        <f>1100</f>
        <v>1100</v>
      </c>
      <c r="G91" s="22">
        <f t="shared" si="11"/>
        <v>5400</v>
      </c>
      <c r="H91" s="29">
        <f t="shared" si="12"/>
        <v>410900</v>
      </c>
    </row>
    <row r="92" spans="2:8" x14ac:dyDescent="0.3">
      <c r="B92" s="20">
        <f t="shared" si="9"/>
        <v>46874</v>
      </c>
      <c r="C92" s="22">
        <f>6500</f>
        <v>6500</v>
      </c>
      <c r="D92" s="22">
        <f t="shared" si="10"/>
        <v>5400</v>
      </c>
      <c r="E92" s="22">
        <v>0</v>
      </c>
      <c r="F92" s="22">
        <f>1100</f>
        <v>1100</v>
      </c>
      <c r="G92" s="22">
        <f t="shared" si="11"/>
        <v>5400</v>
      </c>
      <c r="H92" s="29">
        <f t="shared" si="12"/>
        <v>416300</v>
      </c>
    </row>
    <row r="93" spans="2:8" x14ac:dyDescent="0.3">
      <c r="B93" s="20">
        <f t="shared" si="9"/>
        <v>46905</v>
      </c>
      <c r="C93" s="22">
        <f>6500</f>
        <v>6500</v>
      </c>
      <c r="D93" s="22">
        <f t="shared" si="10"/>
        <v>5400</v>
      </c>
      <c r="E93" s="22">
        <v>0</v>
      </c>
      <c r="F93" s="22">
        <f>1100</f>
        <v>1100</v>
      </c>
      <c r="G93" s="22">
        <f t="shared" si="11"/>
        <v>5400</v>
      </c>
      <c r="H93" s="29">
        <f t="shared" si="12"/>
        <v>421700</v>
      </c>
    </row>
    <row r="94" spans="2:8" x14ac:dyDescent="0.3">
      <c r="B94" s="20">
        <f t="shared" si="9"/>
        <v>46935</v>
      </c>
      <c r="C94" s="22">
        <f>6500</f>
        <v>6500</v>
      </c>
      <c r="D94" s="22">
        <f t="shared" si="10"/>
        <v>5400</v>
      </c>
      <c r="E94" s="22">
        <v>0</v>
      </c>
      <c r="F94" s="22">
        <f>1100</f>
        <v>1100</v>
      </c>
      <c r="G94" s="22">
        <f t="shared" si="11"/>
        <v>5400</v>
      </c>
      <c r="H94" s="29">
        <f t="shared" si="12"/>
        <v>427100</v>
      </c>
    </row>
    <row r="95" spans="2:8" x14ac:dyDescent="0.3">
      <c r="B95" s="20">
        <f t="shared" si="9"/>
        <v>46966</v>
      </c>
      <c r="C95" s="22">
        <f>6500</f>
        <v>6500</v>
      </c>
      <c r="D95" s="22">
        <f t="shared" si="10"/>
        <v>5400</v>
      </c>
      <c r="E95" s="22">
        <v>0</v>
      </c>
      <c r="F95" s="22">
        <f>1100</f>
        <v>1100</v>
      </c>
      <c r="G95" s="22">
        <f t="shared" si="11"/>
        <v>5400</v>
      </c>
      <c r="H95" s="29">
        <f t="shared" si="12"/>
        <v>432500</v>
      </c>
    </row>
    <row r="96" spans="2:8" x14ac:dyDescent="0.3">
      <c r="B96" s="20">
        <f t="shared" si="9"/>
        <v>46997</v>
      </c>
      <c r="C96" s="22">
        <f>6500</f>
        <v>6500</v>
      </c>
      <c r="D96" s="22">
        <f t="shared" si="10"/>
        <v>5400</v>
      </c>
      <c r="E96" s="22">
        <v>0</v>
      </c>
      <c r="F96" s="22">
        <f>1100</f>
        <v>1100</v>
      </c>
      <c r="G96" s="22">
        <f t="shared" si="11"/>
        <v>5400</v>
      </c>
      <c r="H96" s="29">
        <f t="shared" si="12"/>
        <v>437900</v>
      </c>
    </row>
    <row r="97" spans="2:8" x14ac:dyDescent="0.3">
      <c r="B97" s="20">
        <f t="shared" si="9"/>
        <v>47027</v>
      </c>
      <c r="C97" s="22">
        <f>6500</f>
        <v>6500</v>
      </c>
      <c r="D97" s="22">
        <f t="shared" si="10"/>
        <v>5400</v>
      </c>
      <c r="E97" s="22">
        <v>0</v>
      </c>
      <c r="F97" s="22">
        <f>1100</f>
        <v>1100</v>
      </c>
      <c r="G97" s="22">
        <f t="shared" si="11"/>
        <v>5400</v>
      </c>
      <c r="H97" s="29">
        <f t="shared" si="12"/>
        <v>443300</v>
      </c>
    </row>
    <row r="98" spans="2:8" x14ac:dyDescent="0.3">
      <c r="B98" s="20">
        <f t="shared" si="9"/>
        <v>47058</v>
      </c>
      <c r="C98" s="22">
        <f>6500</f>
        <v>6500</v>
      </c>
      <c r="D98" s="22">
        <f t="shared" si="10"/>
        <v>5400</v>
      </c>
      <c r="E98" s="22">
        <v>0</v>
      </c>
      <c r="F98" s="22">
        <f>1100</f>
        <v>1100</v>
      </c>
      <c r="G98" s="22">
        <f t="shared" si="11"/>
        <v>5400</v>
      </c>
      <c r="H98" s="29">
        <f t="shared" si="12"/>
        <v>448700</v>
      </c>
    </row>
    <row r="99" spans="2:8" x14ac:dyDescent="0.3">
      <c r="B99" s="20">
        <f t="shared" si="9"/>
        <v>47088</v>
      </c>
      <c r="C99" s="22">
        <f>6500</f>
        <v>6500</v>
      </c>
      <c r="D99" s="22">
        <f t="shared" si="10"/>
        <v>5400</v>
      </c>
      <c r="E99" s="22">
        <v>0</v>
      </c>
      <c r="F99" s="22">
        <f>1100</f>
        <v>1100</v>
      </c>
      <c r="G99" s="22">
        <f t="shared" si="11"/>
        <v>5400</v>
      </c>
      <c r="H99" s="29">
        <f t="shared" si="12"/>
        <v>454100</v>
      </c>
    </row>
    <row r="100" spans="2:8" x14ac:dyDescent="0.3">
      <c r="B100" s="20">
        <f t="shared" si="9"/>
        <v>47119</v>
      </c>
      <c r="C100" s="22">
        <f>6500</f>
        <v>6500</v>
      </c>
      <c r="D100" s="22">
        <f t="shared" si="10"/>
        <v>5400</v>
      </c>
      <c r="E100" s="22">
        <v>0</v>
      </c>
      <c r="F100" s="22">
        <f>1100</f>
        <v>1100</v>
      </c>
      <c r="G100" s="22">
        <f t="shared" si="11"/>
        <v>5400</v>
      </c>
      <c r="H100" s="29">
        <f t="shared" si="12"/>
        <v>459500</v>
      </c>
    </row>
    <row r="101" spans="2:8" x14ac:dyDescent="0.3">
      <c r="B101" s="20">
        <f t="shared" si="9"/>
        <v>47150</v>
      </c>
      <c r="C101" s="22">
        <f>6500</f>
        <v>6500</v>
      </c>
      <c r="D101" s="22">
        <f t="shared" si="10"/>
        <v>5400</v>
      </c>
      <c r="E101" s="22">
        <v>0</v>
      </c>
      <c r="F101" s="22">
        <f>1100</f>
        <v>1100</v>
      </c>
      <c r="G101" s="22">
        <f t="shared" si="11"/>
        <v>5400</v>
      </c>
      <c r="H101" s="29">
        <f t="shared" si="12"/>
        <v>464900</v>
      </c>
    </row>
    <row r="102" spans="2:8" x14ac:dyDescent="0.3">
      <c r="B102" s="20">
        <f t="shared" si="9"/>
        <v>47178</v>
      </c>
      <c r="C102" s="22">
        <f>6500</f>
        <v>6500</v>
      </c>
      <c r="D102" s="22">
        <f t="shared" si="10"/>
        <v>5400</v>
      </c>
      <c r="E102" s="22">
        <v>0</v>
      </c>
      <c r="F102" s="22">
        <f>1100</f>
        <v>1100</v>
      </c>
      <c r="G102" s="22">
        <f t="shared" si="11"/>
        <v>5400</v>
      </c>
      <c r="H102" s="29">
        <f t="shared" si="12"/>
        <v>470300</v>
      </c>
    </row>
    <row r="103" spans="2:8" x14ac:dyDescent="0.3">
      <c r="B103" s="20">
        <f t="shared" si="9"/>
        <v>47209</v>
      </c>
      <c r="C103" s="22">
        <f>6500</f>
        <v>6500</v>
      </c>
      <c r="D103" s="22">
        <f t="shared" si="10"/>
        <v>5400</v>
      </c>
      <c r="E103" s="22">
        <v>0</v>
      </c>
      <c r="F103" s="22">
        <f>1100</f>
        <v>1100</v>
      </c>
      <c r="G103" s="22">
        <f t="shared" si="11"/>
        <v>5400</v>
      </c>
      <c r="H103" s="29">
        <f t="shared" si="12"/>
        <v>475700</v>
      </c>
    </row>
    <row r="104" spans="2:8" x14ac:dyDescent="0.3">
      <c r="B104" s="20">
        <f t="shared" si="9"/>
        <v>47239</v>
      </c>
      <c r="C104" s="22">
        <f>6500</f>
        <v>6500</v>
      </c>
      <c r="D104" s="22">
        <f t="shared" si="10"/>
        <v>5400</v>
      </c>
      <c r="E104" s="22">
        <v>0</v>
      </c>
      <c r="F104" s="22">
        <f>1100</f>
        <v>1100</v>
      </c>
      <c r="G104" s="22">
        <f t="shared" si="11"/>
        <v>5400</v>
      </c>
      <c r="H104" s="29">
        <f t="shared" si="12"/>
        <v>481100</v>
      </c>
    </row>
    <row r="105" spans="2:8" x14ac:dyDescent="0.3">
      <c r="B105" s="20">
        <f t="shared" si="9"/>
        <v>47270</v>
      </c>
      <c r="C105" s="22">
        <f>6500</f>
        <v>6500</v>
      </c>
      <c r="D105" s="22">
        <f t="shared" si="10"/>
        <v>5400</v>
      </c>
      <c r="E105" s="22">
        <v>0</v>
      </c>
      <c r="F105" s="22">
        <f>1100</f>
        <v>1100</v>
      </c>
      <c r="G105" s="22">
        <f t="shared" si="11"/>
        <v>5400</v>
      </c>
      <c r="H105" s="29">
        <f t="shared" si="12"/>
        <v>486500</v>
      </c>
    </row>
    <row r="106" spans="2:8" x14ac:dyDescent="0.3">
      <c r="B106" s="20">
        <f t="shared" si="9"/>
        <v>47300</v>
      </c>
      <c r="C106" s="22">
        <f>6500</f>
        <v>6500</v>
      </c>
      <c r="D106" s="22">
        <f t="shared" si="10"/>
        <v>5400</v>
      </c>
      <c r="E106" s="22">
        <v>0</v>
      </c>
      <c r="F106" s="22">
        <f>1100</f>
        <v>1100</v>
      </c>
      <c r="G106" s="22">
        <f t="shared" si="11"/>
        <v>5400</v>
      </c>
      <c r="H106" s="29">
        <f t="shared" si="12"/>
        <v>491900</v>
      </c>
    </row>
    <row r="107" spans="2:8" x14ac:dyDescent="0.3">
      <c r="B107" s="20">
        <f t="shared" si="9"/>
        <v>47331</v>
      </c>
      <c r="C107" s="22">
        <f>6500</f>
        <v>6500</v>
      </c>
      <c r="D107" s="22">
        <f t="shared" si="10"/>
        <v>5400</v>
      </c>
      <c r="E107" s="22">
        <v>0</v>
      </c>
      <c r="F107" s="22">
        <f>1100</f>
        <v>1100</v>
      </c>
      <c r="G107" s="22">
        <f t="shared" si="11"/>
        <v>5400</v>
      </c>
      <c r="H107" s="29">
        <f t="shared" si="12"/>
        <v>497300</v>
      </c>
    </row>
  </sheetData>
  <mergeCells count="1">
    <mergeCell ref="B2:H2"/>
  </mergeCells>
  <conditionalFormatting sqref="B4:B107">
    <cfRule type="cellIs" dxfId="0" priority="1" operator="greaterThan">
      <formula>TODAY()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89999084444715716"/>
  </sheetPr>
  <dimension ref="A1:I1"/>
  <sheetViews>
    <sheetView showGridLines="0" workbookViewId="0">
      <selection activeCell="O33" sqref="O33"/>
    </sheetView>
  </sheetViews>
  <sheetFormatPr defaultRowHeight="14.4" x14ac:dyDescent="0.3"/>
  <cols>
    <col min="1" max="1" width="5" style="1" bestFit="1" customWidth="1"/>
    <col min="2" max="2" width="10.77734375" style="1" bestFit="1" customWidth="1"/>
    <col min="3" max="3" width="7.88671875" style="1" bestFit="1" customWidth="1"/>
    <col min="4" max="5" width="8.5546875" style="1" bestFit="1" customWidth="1"/>
    <col min="6" max="6" width="8" style="1" bestFit="1" customWidth="1"/>
    <col min="7" max="7" width="5.21875" style="1" bestFit="1" customWidth="1"/>
    <col min="8" max="8" width="5.109375" style="1" bestFit="1" customWidth="1"/>
    <col min="9" max="9" width="6.109375" style="1" bestFit="1" customWidth="1"/>
    <col min="10" max="16384" width="8.88671875" style="1"/>
  </cols>
  <sheetData>
    <row r="1" spans="1:9" s="3" customFormat="1" ht="19.95" customHeight="1" x14ac:dyDescent="0.3">
      <c r="A1" s="2" t="s">
        <v>48</v>
      </c>
      <c r="B1" s="2" t="s">
        <v>49</v>
      </c>
      <c r="C1" s="2" t="s">
        <v>50</v>
      </c>
      <c r="D1" s="2" t="s">
        <v>51</v>
      </c>
      <c r="E1" s="2" t="s">
        <v>13</v>
      </c>
      <c r="F1" s="2" t="s">
        <v>52</v>
      </c>
      <c r="G1" s="2" t="s">
        <v>53</v>
      </c>
      <c r="H1" s="2" t="s">
        <v>54</v>
      </c>
      <c r="I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Inputs &amp; Controls</vt:lpstr>
      <vt:lpstr>Dashboard</vt:lpstr>
      <vt:lpstr>Budget</vt:lpstr>
      <vt:lpstr>Assets and Liabilities</vt:lpstr>
      <vt:lpstr>12M Cashflow Plan (2026)</vt:lpstr>
      <vt:lpstr>Total Paid in Family Support</vt:lpstr>
      <vt:lpstr>Transactions (Template)</vt:lpstr>
      <vt:lpstr>AEDtoZAR</vt:lpstr>
      <vt:lpstr>Loan_Amount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Abdullah Hassan</cp:lastModifiedBy>
  <dcterms:created xsi:type="dcterms:W3CDTF">2025-11-09T19:36:31Z</dcterms:created>
  <dcterms:modified xsi:type="dcterms:W3CDTF">2025-11-26T22:07:13Z</dcterms:modified>
</cp:coreProperties>
</file>